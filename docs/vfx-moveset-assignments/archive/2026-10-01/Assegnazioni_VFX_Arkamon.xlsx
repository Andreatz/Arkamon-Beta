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bebe41664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gnazioni VFX" sheetId="1" r:id="R4ee6fcc8cad1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&quot;×&quot;"/>
  </x:numFmts>
  <x:fonts count="8">
    <x:font>
      <x:sz val="11"/>
      <x:name val="Carlito"/>
    </x:font>
    <x:font>
      <x:sz val="10"/>
      <x:color rgb="FF253548"/>
      <x:name val="Arial"/>
    </x:font>
    <x:font>
      <x:b/>
      <x:sz val="20"/>
      <x:color rgb="FFFFFFFF"/>
      <x:name val="Arial"/>
    </x:font>
    <x:font>
      <x:sz val="10"/>
      <x:color rgb="FF526777"/>
      <x:name val="Arial"/>
    </x:font>
    <x:font>
      <x:b/>
      <x:sz val="10"/>
      <x:color rgb="FF253548"/>
      <x:name val="Arial"/>
    </x:font>
    <x:font>
      <x:b/>
      <x:sz val="18"/>
      <x:color rgb="FF253548"/>
      <x:name val="Arial"/>
    </x:font>
    <x:font>
      <x:b/>
      <x:sz val="10"/>
      <x:color rgb="FFFFFFFF"/>
      <x:name val="Arial"/>
    </x:font>
    <x:font>
      <x:sz val="10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42D42"/>
      </x:patternFill>
    </x:fill>
    <x:fill>
      <x:patternFill patternType="solid">
        <x:fgColor rgb="FFEAF2F7"/>
      </x:patternFill>
    </x:fill>
    <x:fill>
      <x:patternFill patternType="solid">
        <x:fgColor rgb="FF294D68"/>
      </x:patternFill>
    </x:fill>
    <x:fill>
      <x:patternFill patternType="solid">
        <x:fgColor rgb="FF92D050"/>
      </x:patternFill>
    </x:fill>
    <x:fill>
      <x:patternFill patternType="solid">
        <x:fgColor rgb="FFFFC000"/>
      </x:patternFill>
    </x:fill>
    <x:fill>
      <x:patternFill patternType="solid">
        <x:fgColor rgb="FFFF0000"/>
      </x:patternFill>
    </x:fill>
    <x:fill>
      <x:patternFill patternType="solid">
        <x:fgColor rgb="FFBFBFBF"/>
      </x:patternFill>
    </x:fill>
    <x:fill>
      <x:patternFill patternType="solid">
        <x:fgColor rgb="FFF4F7FA"/>
      </x:patternFill>
    </x:fill>
    <x:fill>
      <x:patternFill patternType="solid">
        <x:fgColor rgb="FFFCE8E6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201" fontId="1" fillId="9" borderId="0" xfId="0" applyNumberFormat="1" applyFont="1" applyFill="1" applyBorder="1" applyAlignment="1">
      <x:alignment horizontal="center" vertical="center" wrapText="1"/>
    </x:xf>
    <x:xf numFmtId="200" fontId="1" fillId="9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13c473060438b" /><Relationship Type="http://schemas.openxmlformats.org/officeDocument/2006/relationships/theme" Target="/xl/theme/theme1.xml" Id="R12f900265baa4745" /><Relationship Type="http://schemas.openxmlformats.org/officeDocument/2006/relationships/sharedStrings" Target="/xl/sharedStrings.xml" Id="Rd1530479d04d4d04" /><Relationship Type="http://schemas.openxmlformats.org/officeDocument/2006/relationships/worksheet" Target="/xl/worksheets/sheet1.xml" Id="R4ee6fcc8cad1472c" /></Relationships>
</file>

<file path=xl/tables/table1.xml><?xml version="1.0" encoding="utf-8"?>
<x:table xmlns:x="http://schemas.openxmlformats.org/spreadsheetml/2006/main" id="1" name="MovesetVfxAssignments" displayName="MovesetVfxAssignments" ref="A13:L289" headerRowCount="1" totalsRowCount="0" totalsRowShown="0">
  <x:autoFilter ref="A13:L289"/>
  <x:tableColumns count="12">
    <x:tableColumn id="1" name="ID moveset"/>
    <x:tableColumn id="2" name="Mossa"/>
    <x:tableColumn id="3" name="Tipo / effetto"/>
    <x:tableColumn id="4" name="Intensità (colore)"/>
    <x:tableColumn id="5" name="Arkamon"/>
    <x:tableColumn id="6" name="VFX specifico"/>
    <x:tableColumn id="7" name="Valutazione"/>
    <x:tableColumn id="8" name="Posizione"/>
    <x:tableColumn id="9" name="Zoom"/>
    <x:tableColumn id="10" name="ID gioco"/>
    <x:tableColumn id="11" name="Note"/>
    <x:tableColumn id="12" name="ID as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67dc00b79646e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9" hidden="0" customWidth="1"/>
    <x:col min="2" max="2" width="29" hidden="0" customWidth="1"/>
    <x:col min="3" max="3" width="31" hidden="0" customWidth="1"/>
    <x:col min="4" max="4" width="23" hidden="0" customWidth="1"/>
    <x:col min="5" max="5" width="25" hidden="0" customWidth="1"/>
    <x:col min="6" max="6" width="55" hidden="0" customWidth="1"/>
    <x:col min="7" max="7" width="25" hidden="0" customWidth="1"/>
    <x:col min="8" max="8" width="13" hidden="0" customWidth="1"/>
    <x:col min="9" max="9" width="10" hidden="0" customWidth="1"/>
    <x:col min="10" max="10" width="10" hidden="0" customWidth="1"/>
    <x:col min="11" max="11" width="77" hidden="0" customWidth="1"/>
    <x:col min="12" max="12" width="85" hidden="0" customWidth="1"/>
  </x:cols>
  <x:sheetData>
    <x:row r="1" ht="42" customHeight="1">
      <x:c r="A1" s="4" t="str">
        <x:v>ARKAMON · Associazioni individuali delle 276 mosse</x:v>
      </x:c>
      <x:c r="B1" s="4" t="str">
        <x:v>ARKAMON · Associazioni individuali delle 276 mosse</x:v>
      </x:c>
      <x:c r="C1" s="4" t="str">
        <x:v>ARKAMON · Associazioni individuali delle 276 mosse</x:v>
      </x:c>
      <x:c r="D1" s="4" t="str">
        <x:v>ARKAMON · Associazioni individuali delle 276 mosse</x:v>
      </x:c>
      <x:c r="E1" s="4" t="str">
        <x:v>ARKAMON · Associazioni individuali delle 276 mosse</x:v>
      </x:c>
      <x:c r="F1" s="4" t="str">
        <x:v>ARKAMON · Associazioni individuali delle 276 mosse</x:v>
      </x:c>
      <x:c r="G1" s="4" t="str">
        <x:v>ARKAMON · Associazioni individuali delle 276 mosse</x:v>
      </x:c>
      <x:c r="H1" s="2"/>
      <x:c r="I1" s="2"/>
      <x:c r="J1" s="2"/>
      <x:c r="K1" s="2"/>
      <x:c r="L1" s="2"/>
    </x:row>
    <x:row r="2" ht="23" customHeight="1">
      <x:c r="A2" s="5" t="str">
        <x:v>Fonte: Moveset.xlsx, Sheet1 · ID 256 integrato dall’utente: Stasi Elettrica, Felvex Oscurità #44, status con paralisi · 01/10/2026</x:v>
      </x:c>
      <x:c r="B2" s="5" t="str">
        <x:v>Fonte: Moveset.xlsx, Sheet1 · ID 256 integrato dall’utente: Stasi Elettrica, Felvex Oscurità #44, status con paralisi · 01/10/2026</x:v>
      </x:c>
      <x:c r="C2" s="5" t="str">
        <x:v>Fonte: Moveset.xlsx, Sheet1 · ID 256 integrato dall’utente: Stasi Elettrica, Felvex Oscurità #44, status con paralisi · 01/10/2026</x:v>
      </x:c>
      <x:c r="D2" s="5" t="str">
        <x:v>Fonte: Moveset.xlsx, Sheet1 · ID 256 integrato dall’utente: Stasi Elettrica, Felvex Oscurità #44, status con paralisi · 01/10/2026</x:v>
      </x:c>
      <x:c r="E2" s="5" t="str">
        <x:v>Fonte: Moveset.xlsx, Sheet1 · ID 256 integrato dall’utente: Stasi Elettrica, Felvex Oscurità #44, status con paralisi · 01/10/2026</x:v>
      </x:c>
      <x:c r="F2" s="5" t="str">
        <x:v>Fonte: Moveset.xlsx, Sheet1 · ID 256 integrato dall’utente: Stasi Elettrica, Felvex Oscurità #44, status con paralisi · 01/10/2026</x:v>
      </x:c>
      <x:c r="G2" s="5" t="str">
        <x:v>Fonte: Moveset.xlsx, Sheet1 · ID 256 integrato dall’utente: Stasi Elettrica, Felvex Oscurità #44, status con paralisi · 01/10/2026</x:v>
      </x:c>
      <x:c r="H2" s="2"/>
      <x:c r="I2" s="2"/>
      <x:c r="J2" s="2"/>
      <x:c r="K2" s="2"/>
      <x:c r="L2" s="2"/>
    </x:row>
    <x:row r="3" ht="33" customHeight="1">
      <x:c r="A3" s="7" t="str">
        <x:v>Ogni VFX è riservato a una sola mossa. “Da creare” = nessun effetto distinto. “Da adattare” = risorsa esistente con elementi da ripulire. Le mosse nuove restano anteprime, senza meccaniche inventate.</x:v>
      </x:c>
      <x:c r="B3" s="7" t="str">
        <x:v>Ogni VFX è riservato a una sola mossa. “Da creare” = nessun effetto distinto. “Da adattare” = risorsa esistente con elementi da ripulire. Le mosse nuove restano anteprime, senza meccaniche inventate.</x:v>
      </x:c>
      <x:c r="C3" s="7" t="str">
        <x:v>Ogni VFX è riservato a una sola mossa. “Da creare” = nessun effetto distinto. “Da adattare” = risorsa esistente con elementi da ripulire. Le mosse nuove restano anteprime, senza meccaniche inventate.</x:v>
      </x:c>
      <x:c r="D3" s="7" t="str">
        <x:v>Ogni VFX è riservato a una sola mossa. “Da creare” = nessun effetto distinto. “Da adattare” = risorsa esistente con elementi da ripulire. Le mosse nuove restano anteprime, senza meccaniche inventate.</x:v>
      </x:c>
      <x:c r="E3" s="7" t="str">
        <x:v>Ogni VFX è riservato a una sola mossa. “Da creare” = nessun effetto distinto. “Da adattare” = risorsa esistente con elementi da ripulire. Le mosse nuove restano anteprime, senza meccaniche inventate.</x:v>
      </x:c>
      <x:c r="F3" s="7" t="str">
        <x:v>Ogni VFX è riservato a una sola mossa. “Da creare” = nessun effetto distinto. “Da adattare” = risorsa esistente con elementi da ripulire. Le mosse nuove restano anteprime, senza meccaniche inventate.</x:v>
      </x:c>
      <x:c r="G3" s="7" t="str">
        <x:v>Ogni VFX è riservato a una sola mossa. “Da creare” = nessun effetto distinto. “Da adattare” = risorsa esistente con elementi da ripulire. Le mosse nuove restano anteprime, senza meccaniche inventate.</x:v>
      </x:c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9" t="str">
        <x:v>Mosse</x:v>
      </x:c>
      <x:c r="B5" s="9" t="str">
        <x:v>Mosse</x:v>
      </x:c>
      <x:c r="C5" s="9" t="str">
        <x:v>VFX riservati</x:v>
      </x:c>
      <x:c r="D5" s="9" t="str">
        <x:v>VFX riservati</x:v>
      </x:c>
      <x:c r="E5" s="9" t="str">
        <x:v>Da creare</x:v>
      </x:c>
      <x:c r="F5" s="9" t="str">
        <x:v>Da creare</x:v>
      </x:c>
      <x:c r="G5" s="9" t="str">
        <x:v>Da adattare</x:v>
      </x:c>
      <x:c r="H5" s="9" t="str">
        <x:v>Calibrazioni confermate</x:v>
      </x:c>
      <x:c r="I5" s="9" t="str">
        <x:v>Calibrazioni confermate</x:v>
      </x:c>
      <x:c r="J5" s="9" t="str">
        <x:v>Calibrazioni confermate</x:v>
      </x:c>
      <x:c r="K5" s="9" t="str">
        <x:v>Altre proposte</x:v>
      </x:c>
      <x:c r="L5" s="9" t="str">
        <x:v>Altre proposte</x:v>
      </x:c>
    </x:row>
    <x:row r="6" ht="26" customHeight="1">
      <x:c r="A6" s="10" t="n">
        <x:f>COUNT(A14:A289)</x:f>
        <x:v>276</x:v>
      </x:c>
      <x:c r="B6" s="10"/>
      <x:c r="C6" s="10" t="n">
        <x:f>A6-E6</x:f>
        <x:v>142</x:v>
      </x:c>
      <x:c r="D6" s="10"/>
      <x:c r="E6" s="10" t="n">
        <x:f>COUNTIFS(G14:G289,"Da creare")</x:f>
        <x:v>134</x:v>
      </x:c>
      <x:c r="F6" s="10"/>
      <x:c r="G6" s="10" t="n">
        <x:f>COUNTIFS(G14:G289,"Da adattare")</x:f>
        <x:v>16</x:v>
      </x:c>
      <x:c r="H6" s="10" t="n">
        <x:f>COUNTIFS(G14:G289,"Calibrazione confermata")</x:f>
        <x:v>10</x:v>
      </x:c>
      <x:c r="I6" s="10"/>
      <x:c r="J6" s="10"/>
      <x:c r="K6" s="10" t="n">
        <x:f>COUNTIFS(G14:G289,"Proposta")</x:f>
        <x:v>116</x:v>
      </x:c>
      <x:c r="L6" s="10"/>
    </x:row>
    <x:row r="7" ht="29" customHeight="1">
      <x:c r="A7" s="13" t="str">
        <x:v>Colore / intensità</x:v>
      </x:c>
      <x:c r="B7" s="13" t="str">
        <x:v>Colore / intensità</x:v>
      </x:c>
      <x:c r="C7" s="13" t="str">
        <x:v>Totale mosse</x:v>
      </x:c>
      <x:c r="D7" s="13" t="str">
        <x:v>VFX riservati</x:v>
      </x:c>
      <x:c r="E7" s="13" t="str">
        <x:v>Da creare</x:v>
      </x:c>
      <x:c r="F7" s="19" t="str">
        <x:v>Filtra “Valutazione” per vedere le mosse da coprire, le risorse da adattare e le calibrazioni confermate. Le altre associazioni sono proposte da valutare. Sono inclusi 4 effetti statici, indicati nelle note.</x:v>
      </x:c>
      <x:c r="G7" s="19" t="str">
        <x:v>Filtra “Valutazione” per vedere le mosse da coprire, le risorse da adattare e le calibrazioni confermate. Le altre associazioni sono proposte da valutare. Sono inclusi 4 effetti statici, indicati nelle note.</x:v>
      </x:c>
      <x:c r="H7" s="2"/>
      <x:c r="I7" s="2"/>
      <x:c r="J7" s="2"/>
      <x:c r="K7" s="2"/>
      <x:c r="L7" s="2"/>
    </x:row>
    <x:row r="8" ht="23" customHeight="1">
      <x:c r="A8" s="14" t="str">
        <x:v>Leggera</x:v>
      </x:c>
      <x:c r="B8" s="14" t="str">
        <x:v>Leggera</x:v>
      </x:c>
      <x:c r="C8" s="2" t="n">
        <x:f>COUNTIFS(D14:D289,A8)</x:f>
        <x:v>76</x:v>
      </x:c>
      <x:c r="D8" s="2" t="n">
        <x:f>C8-E8</x:f>
        <x:v>38</x:v>
      </x:c>
      <x:c r="E8" s="2" t="n">
        <x:f>COUNTIFS(D14:D289,A8,G14:G289,"Da creare")</x:f>
        <x:v>38</x:v>
      </x:c>
      <x:c r="F8" s="19" t="str">
        <x:v>Filtra “Valutazione” per vedere le mosse da coprire, le risorse da adattare e le calibrazioni confermate. Le altre associazioni sono proposte da valutare. Sono inclusi 4 effetti statici, indicati nelle note.</x:v>
      </x:c>
      <x:c r="G8" s="19" t="str">
        <x:v>Filtra “Valutazione” per vedere le mosse da coprire, le risorse da adattare e le calibrazioni confermate. Le altre associazioni sono proposte da valutare. Sono inclusi 4 effetti statici, indicati nelle note.</x:v>
      </x:c>
      <x:c r="H8" s="2"/>
      <x:c r="I8" s="2"/>
      <x:c r="J8" s="2"/>
      <x:c r="K8" s="2"/>
      <x:c r="L8" s="2"/>
    </x:row>
    <x:row r="9" ht="23" customHeight="1">
      <x:c r="A9" s="15" t="str">
        <x:v>Media</x:v>
      </x:c>
      <x:c r="B9" s="15" t="str">
        <x:v>Media</x:v>
      </x:c>
      <x:c r="C9" s="2" t="n">
        <x:f>COUNTIFS(D14:D289,A9)</x:f>
        <x:v>86</x:v>
      </x:c>
      <x:c r="D9" s="2" t="n">
        <x:f>C9-E9</x:f>
        <x:v>41</x:v>
      </x:c>
      <x:c r="E9" s="2" t="n">
        <x:f>COUNTIFS(D14:D289,A9,G14:G289,"Da creare")</x:f>
        <x:v>45</x:v>
      </x:c>
      <x:c r="F9" s="19" t="str">
        <x:v>ID riconciliati per nome: Sguardo glaciale 107 → gioco 109; Ordine sovrano 108 → gioco 110; Vortice divino 109 → gioco 107; Fiamma celestiale 110 → gioco 108. ID 221–276: anteprime, ancora da integrare nel gioco.</x:v>
      </x:c>
      <x:c r="G9" s="19" t="str">
        <x:v>ID riconciliati per nome: Sguardo glaciale 107 → gioco 109; Ordine sovrano 108 → gioco 110; Vortice divino 109 → gioco 107; Fiamma celestiale 110 → gioco 108. ID 221–276: anteprime, ancora da integrare nel gioco.</x:v>
      </x:c>
      <x:c r="H9" s="2"/>
      <x:c r="I9" s="2"/>
      <x:c r="J9" s="2"/>
      <x:c r="K9" s="2"/>
      <x:c r="L9" s="2"/>
    </x:row>
    <x:row r="10" ht="23" customHeight="1">
      <x:c r="A10" s="17" t="str">
        <x:v>Forte</x:v>
      </x:c>
      <x:c r="B10" s="16" t="str">
        <x:v>Forte</x:v>
      </x:c>
      <x:c r="C10" s="2" t="n">
        <x:f>COUNTIFS(D14:D289,A10)</x:f>
        <x:v>58</x:v>
      </x:c>
      <x:c r="D10" s="2" t="n">
        <x:f>C10-E10</x:f>
        <x:v>38</x:v>
      </x:c>
      <x:c r="E10" s="2" t="n">
        <x:f>COUNTIFS(D14:D289,A10,G14:G289,"Da creare")</x:f>
        <x:v>20</x:v>
      </x:c>
      <x:c r="F10" s="19" t="str">
        <x:v>ID riconciliati per nome: Sguardo glaciale 107 → gioco 109; Ordine sovrano 108 → gioco 110; Vortice divino 109 → gioco 107; Fiamma celestiale 110 → gioco 108. ID 221–276: anteprime, ancora da integrare nel gioco.</x:v>
      </x:c>
      <x:c r="G10" s="19" t="str">
        <x:v>ID riconciliati per nome: Sguardo glaciale 107 → gioco 109; Ordine sovrano 108 → gioco 110; Vortice divino 109 → gioco 107; Fiamma celestiale 110 → gioco 108. ID 221–276: anteprime, ancora da integrare nel gioco.</x:v>
      </x:c>
      <x:c r="H10" s="2"/>
      <x:c r="I10" s="2"/>
      <x:c r="J10" s="2"/>
      <x:c r="K10" s="2"/>
      <x:c r="L10" s="2"/>
    </x:row>
    <x:row r="11" ht="23" customHeight="1">
      <x:c r="A11" s="18" t="str">
        <x:v>Status / danno fisso</x:v>
      </x:c>
      <x:c r="B11" s="18" t="str">
        <x:v>Status / danno fisso</x:v>
      </x:c>
      <x:c r="C11" s="2" t="n">
        <x:f>COUNTIFS(D14:D289,A11)</x:f>
        <x:v>56</x:v>
      </x:c>
      <x:c r="D11" s="2" t="n">
        <x:f>C11-E11</x:f>
        <x:v>25</x:v>
      </x:c>
      <x:c r="E11" s="2" t="n">
        <x:f>COUNTIFS(D14:D289,A11,G14:G289,"Da creare")</x:f>
        <x:v>31</x:v>
      </x:c>
      <x:c r="F11" s="19" t="str">
        <x:v>ID riconciliati per nome: Sguardo glaciale 107 → gioco 109; Ordine sovrano 108 → gioco 110; Vortice divino 109 → gioco 107; Fiamma celestiale 110 → gioco 108. ID 221–276: anteprime, ancora da integrare nel gioco.</x:v>
      </x:c>
      <x:c r="G11" s="19" t="str">
        <x:v>ID riconciliati per nome: Sguardo glaciale 107 → gioco 109; Ordine sovrano 108 → gioco 110; Vortice divino 109 → gioco 107; Fiamma celestiale 110 → gioco 108. ID 221–276: anteprime, ancora da integrare nel gioco.</x:v>
      </x:c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32" customHeight="1">
      <x:c r="A13" s="21" t="str">
        <x:v>ID moveset</x:v>
      </x:c>
      <x:c r="B13" s="21" t="str">
        <x:v>Mossa</x:v>
      </x:c>
      <x:c r="C13" s="21" t="str">
        <x:v>Tipo / effetto</x:v>
      </x:c>
      <x:c r="D13" s="21" t="str">
        <x:v>Intensità (colore)</x:v>
      </x:c>
      <x:c r="E13" s="21" t="str">
        <x:v>Arkamon</x:v>
      </x:c>
      <x:c r="F13" s="21" t="str">
        <x:v>VFX specifico</x:v>
      </x:c>
      <x:c r="G13" s="21" t="str">
        <x:v>Valutazione</x:v>
      </x:c>
      <x:c r="H13" s="21" t="str">
        <x:v>Posizione</x:v>
      </x:c>
      <x:c r="I13" s="21" t="str">
        <x:v>Zoom</x:v>
      </x:c>
      <x:c r="J13" s="21" t="str">
        <x:v>ID gioco</x:v>
      </x:c>
      <x:c r="K13" s="21" t="str">
        <x:v>Note</x:v>
      </x:c>
      <x:c r="L13" s="21" t="str">
        <x:v>ID asset</x:v>
      </x:c>
    </x:row>
    <x:row r="14" ht="46" customHeight="1">
      <x:c r="A14" s="22" t="n">
        <x:v>1</x:v>
      </x:c>
      <x:c r="B14" s="19" t="str">
        <x:v>Soffio</x:v>
      </x:c>
      <x:c r="C14" s="19" t="str">
        <x:v>Normale</x:v>
      </x:c>
      <x:c r="D14" s="27" t="str">
        <x:v>Leggera</x:v>
      </x:c>
      <x:c r="E14" s="19" t="str">
        <x:v>Vyrath #1</x:v>
      </x:c>
      <x:c r="F14" s="19" t="str">
        <x:v>Thrust</x:v>
      </x:c>
      <x:c r="G14" s="19" t="str">
        <x:v>Proposta</x:v>
      </x:c>
      <x:c r="H14" s="24" t="str">
        <x:v>Bersaglio</x:v>
      </x:c>
      <x:c r="I14" s="25" t="n">
        <x:v>1</x:v>
      </x:c>
      <x:c r="J14" s="26" t="n">
        <x:v>1</x:v>
      </x:c>
      <x:c r="K14" s="19" t="str">
        <x:v>Proposta individuale basata su forma, colore e tema visivo; da verificare in anteprima.</x:v>
      </x:c>
      <x:c r="L14" s="19" t="str">
        <x:v>thrust</x:v>
      </x:c>
    </x:row>
    <x:row r="15" ht="46" customHeight="1">
      <x:c r="A15" s="28" t="n">
        <x:v>2</x:v>
      </x:c>
      <x:c r="B15" s="29" t="str">
        <x:v>Assalto</x:v>
      </x:c>
      <x:c r="C15" s="29" t="str">
        <x:v>Normale</x:v>
      </x:c>
      <x:c r="D15" s="33" t="str">
        <x:v>Media</x:v>
      </x:c>
      <x:c r="E15" s="29" t="str">
        <x:v>Vyrath #2</x:v>
      </x:c>
      <x:c r="F15" s="34" t="str"/>
      <x:c r="G15" s="34" t="str">
        <x:v>Da creare</x:v>
      </x:c>
      <x:c r="H15" s="30" t="str"/>
      <x:c r="I15" s="31"/>
      <x:c r="J15" s="32" t="n">
        <x:v>2</x:v>
      </x:c>
      <x:c r="K15" s="29" t="str">
        <x:v>Da reperire un VFX distinto; l’eventuale effetto generico nel gioco non conta come assegnazione.</x:v>
      </x:c>
      <x:c r="L15" s="29" t="str"/>
    </x:row>
    <x:row r="16" ht="46" customHeight="1">
      <x:c r="A16" s="22" t="n">
        <x:v>3</x:v>
      </x:c>
      <x:c r="B16" s="19" t="str">
        <x:v>Impatto verticale</x:v>
      </x:c>
      <x:c r="C16" s="19" t="str">
        <x:v>Normale</x:v>
      </x:c>
      <x:c r="D16" s="33" t="str">
        <x:v>Media</x:v>
      </x:c>
      <x:c r="E16" s="19" t="str">
        <x:v>Vyrath #3</x:v>
      </x:c>
      <x:c r="F16" s="19" t="str">
        <x:v>BasicEff.Img CaptainWings</x:v>
      </x:c>
      <x:c r="G16" s="19" t="str">
        <x:v>Proposta</x:v>
      </x:c>
      <x:c r="H16" s="24" t="str">
        <x:v>Bersaglio</x:v>
      </x:c>
      <x:c r="I16" s="25" t="n">
        <x:v>1</x:v>
      </x:c>
      <x:c r="J16" s="26" t="n">
        <x:v>3</x:v>
      </x:c>
      <x:c r="K16" s="19" t="str">
        <x:v>Proposta individuale basata su forma, colore e tema visivo; da verificare in anteprima.</x:v>
      </x:c>
      <x:c r="L16" s="19" t="str">
        <x:v>generated:basiceff-img_captainwings-images_nested_sheet</x:v>
      </x:c>
    </x:row>
    <x:row r="17" ht="46" customHeight="1">
      <x:c r="A17" s="28" t="n">
        <x:v>4</x:v>
      </x:c>
      <x:c r="B17" s="29" t="str">
        <x:v>Carica ossidrica</x:v>
      </x:c>
      <x:c r="C17" s="29" t="str">
        <x:v>Normale</x:v>
      </x:c>
      <x:c r="D17" s="36" t="str">
        <x:v>Forte</x:v>
      </x:c>
      <x:c r="E17" s="29" t="str">
        <x:v>Vyrath #4</x:v>
      </x:c>
      <x:c r="F17" s="34" t="str"/>
      <x:c r="G17" s="34" t="str">
        <x:v>Da creare</x:v>
      </x:c>
      <x:c r="H17" s="30" t="str"/>
      <x:c r="I17" s="31"/>
      <x:c r="J17" s="32" t="n">
        <x:v>4</x:v>
      </x:c>
      <x:c r="K17" s="29" t="str">
        <x:v>Da reperire un VFX distinto; l’eventuale effetto generico nel gioco non conta come assegnazione.</x:v>
      </x:c>
      <x:c r="L17" s="29" t="str"/>
    </x:row>
    <x:row r="18" ht="46" customHeight="1">
      <x:c r="A18" s="22" t="n">
        <x:v>5</x:v>
      </x:c>
      <x:c r="B18" s="19" t="str">
        <x:v>Voltaggio</x:v>
      </x:c>
      <x:c r="C18" s="19" t="str">
        <x:v>Elettro</x:v>
      </x:c>
      <x:c r="D18" s="27" t="str">
        <x:v>Leggera</x:v>
      </x:c>
      <x:c r="E18" s="19" t="str">
        <x:v>Teslat #86</x:v>
      </x:c>
      <x:c r="F18" s="19" t="str">
        <x:v>Energy</x:v>
      </x:c>
      <x:c r="G18" s="19" t="str">
        <x:v>Proposta</x:v>
      </x:c>
      <x:c r="H18" s="24" t="str">
        <x:v>Bersaglio</x:v>
      </x:c>
      <x:c r="I18" s="25" t="n">
        <x:v>1</x:v>
      </x:c>
      <x:c r="J18" s="26" t="n">
        <x:v>5</x:v>
      </x:c>
      <x:c r="K18" s="19" t="str">
        <x:v>Proposta individuale basata su forma, colore e tema visivo; da verificare in anteprima.</x:v>
      </x:c>
      <x:c r="L18" s="19" t="str">
        <x:v>energyGif</x:v>
      </x:c>
    </x:row>
    <x:row r="19" ht="46" customHeight="1">
      <x:c r="A19" s="28" t="n">
        <x:v>6</x:v>
      </x:c>
      <x:c r="B19" s="29" t="str">
        <x:v>Alta tensione</x:v>
      </x:c>
      <x:c r="C19" s="29" t="str">
        <x:v>Elettro</x:v>
      </x:c>
      <x:c r="D19" s="33" t="str">
        <x:v>Media</x:v>
      </x:c>
      <x:c r="E19" s="29" t="str">
        <x:v>Teslat #87</x:v>
      </x:c>
      <x:c r="F19" s="29" t="str">
        <x:v>Dmitry Sarkisov</x:v>
      </x:c>
      <x:c r="G19" s="29" t="str">
        <x:v>Proposta</x:v>
      </x:c>
      <x:c r="H19" s="30" t="str">
        <x:v>Centro</x:v>
      </x:c>
      <x:c r="I19" s="31" t="n">
        <x:v>1</x:v>
      </x:c>
      <x:c r="J19" s="32" t="n">
        <x:v>6</x:v>
      </x:c>
      <x:c r="K19" s="29" t="str">
        <x:v>Proposta individuale basata su forma, colore e tema visivo; da verificare in anteprima.</x:v>
      </x:c>
      <x:c r="L19" s="29" t="str">
        <x:v>gif:dmitry-sarkisov</x:v>
      </x:c>
    </x:row>
    <x:row r="20" ht="46" customHeight="1">
      <x:c r="A20" s="22" t="n">
        <x:v>7</x:v>
      </x:c>
      <x:c r="B20" s="19" t="str">
        <x:v>Stormo di fulmini</x:v>
      </x:c>
      <x:c r="C20" s="19" t="str">
        <x:v>Elettro</x:v>
      </x:c>
      <x:c r="D20" s="36" t="str">
        <x:v>Forte</x:v>
      </x:c>
      <x:c r="E20" s="19" t="str">
        <x:v>Teslat #88</x:v>
      </x:c>
      <x:c r="F20" s="19" t="str">
        <x:v>FieldGimmickEff.Img Thunder</x:v>
      </x:c>
      <x:c r="G20" s="19" t="str">
        <x:v>Proposta</x:v>
      </x:c>
      <x:c r="H20" s="24" t="str">
        <x:v>Centro</x:v>
      </x:c>
      <x:c r="I20" s="25" t="n">
        <x:v>1</x:v>
      </x:c>
      <x:c r="J20" s="26" t="n">
        <x:v>7</x:v>
      </x:c>
      <x:c r="K20" s="19" t="str">
        <x:v>Proposta individuale basata su forma, colore e tema visivo; da verificare in anteprima.</x:v>
      </x:c>
      <x:c r="L20" s="19" t="str">
        <x:v>generated:fieldgimmickeff-img_thunder-images_nested_sheet</x:v>
      </x:c>
    </x:row>
    <x:row r="21" ht="46" customHeight="1">
      <x:c r="A21" s="28" t="n">
        <x:v>8</x:v>
      </x:c>
      <x:c r="B21" s="29" t="str">
        <x:v>Nevischio</x:v>
      </x:c>
      <x:c r="C21" s="29" t="str">
        <x:v>Acqua</x:v>
      </x:c>
      <x:c r="D21" s="27" t="str">
        <x:v>Leggera</x:v>
      </x:c>
      <x:c r="E21" s="29" t="str">
        <x:v>Blizzaquil #71</x:v>
      </x:c>
      <x:c r="F21" s="29" t="str">
        <x:v>BasicEff.Img JobChangedMukhyunFront</x:v>
      </x:c>
      <x:c r="G21" s="29" t="str">
        <x:v>Proposta</x:v>
      </x:c>
      <x:c r="H21" s="30" t="str">
        <x:v>Bersaglio</x:v>
      </x:c>
      <x:c r="I21" s="31" t="n">
        <x:v>1</x:v>
      </x:c>
      <x:c r="J21" s="32" t="n">
        <x:v>8</x:v>
      </x:c>
      <x:c r="K21" s="29" t="str">
        <x:v>Proposta individuale basata su forma, colore e tema visivo; da verificare in anteprima.</x:v>
      </x:c>
      <x:c r="L21" s="29" t="str">
        <x:v>generated:basiceff-img_jobchangedmukhyunfront-images_nested_sheet</x:v>
      </x:c>
    </x:row>
    <x:row r="22" ht="46" customHeight="1">
      <x:c r="A22" s="22" t="n">
        <x:v>9</x:v>
      </x:c>
      <x:c r="B22" s="19" t="str">
        <x:v>Valanga</x:v>
      </x:c>
      <x:c r="C22" s="19" t="str">
        <x:v>Acqua</x:v>
      </x:c>
      <x:c r="D22" s="33" t="str">
        <x:v>Media</x:v>
      </x:c>
      <x:c r="E22" s="19" t="str">
        <x:v>Blizzaquil #72</x:v>
      </x:c>
      <x:c r="F22" s="34" t="str"/>
      <x:c r="G22" s="34" t="str">
        <x:v>Da creare</x:v>
      </x:c>
      <x:c r="H22" s="24" t="str"/>
      <x:c r="I22" s="25"/>
      <x:c r="J22" s="26" t="n">
        <x:v>9</x:v>
      </x:c>
      <x:c r="K22" s="19" t="str">
        <x:v>Da reperire un VFX distinto; l’eventuale effetto generico nel gioco non conta come assegnazione.</x:v>
      </x:c>
      <x:c r="L22" s="19" t="str"/>
    </x:row>
    <x:row r="23" ht="46" customHeight="1">
      <x:c r="A23" s="28" t="n">
        <x:v>10</x:v>
      </x:c>
      <x:c r="B23" s="29" t="str">
        <x:v>Tormenta glaciale</x:v>
      </x:c>
      <x:c r="C23" s="29" t="str">
        <x:v>Acqua</x:v>
      </x:c>
      <x:c r="D23" s="36" t="str">
        <x:v>Forte</x:v>
      </x:c>
      <x:c r="E23" s="29" t="str">
        <x:v>Blizzaquil #73</x:v>
      </x:c>
      <x:c r="F23" s="34" t="str"/>
      <x:c r="G23" s="34" t="str">
        <x:v>Da creare</x:v>
      </x:c>
      <x:c r="H23" s="30" t="str"/>
      <x:c r="I23" s="31"/>
      <x:c r="J23" s="32" t="n">
        <x:v>10</x:v>
      </x:c>
      <x:c r="K23" s="29" t="str">
        <x:v>Da reperire un VFX distinto; l’eventuale effetto generico nel gioco non conta come assegnazione.</x:v>
      </x:c>
      <x:c r="L23" s="29" t="str"/>
    </x:row>
    <x:row r="24" ht="46" customHeight="1">
      <x:c r="A24" s="22" t="n">
        <x:v>11</x:v>
      </x:c>
      <x:c r="B24" s="19" t="str">
        <x:v>Lapillo</x:v>
      </x:c>
      <x:c r="C24" s="19" t="str">
        <x:v>Terra</x:v>
      </x:c>
      <x:c r="D24" s="27" t="str">
        <x:v>Leggera</x:v>
      </x:c>
      <x:c r="E24" s="19" t="str">
        <x:v>Clastoom #16</x:v>
      </x:c>
      <x:c r="F24" s="34" t="str"/>
      <x:c r="G24" s="34" t="str">
        <x:v>Da creare</x:v>
      </x:c>
      <x:c r="H24" s="24" t="str"/>
      <x:c r="I24" s="25"/>
      <x:c r="J24" s="26" t="n">
        <x:v>11</x:v>
      </x:c>
      <x:c r="K24" s="19" t="str">
        <x:v>Da reperire un VFX distinto; l’eventuale effetto generico nel gioco non conta come assegnazione.</x:v>
      </x:c>
      <x:c r="L24" s="19" t="str"/>
    </x:row>
    <x:row r="25" ht="46" customHeight="1">
      <x:c r="A25" s="28" t="n">
        <x:v>12</x:v>
      </x:c>
      <x:c r="B25" s="29" t="str">
        <x:v>Roccia fusa</x:v>
      </x:c>
      <x:c r="C25" s="29" t="str">
        <x:v>Terra</x:v>
      </x:c>
      <x:c r="D25" s="33" t="str">
        <x:v>Media</x:v>
      </x:c>
      <x:c r="E25" s="29" t="str">
        <x:v>Clastoom #17</x:v>
      </x:c>
      <x:c r="F25" s="34" t="str"/>
      <x:c r="G25" s="34" t="str">
        <x:v>Da creare</x:v>
      </x:c>
      <x:c r="H25" s="30" t="str"/>
      <x:c r="I25" s="31"/>
      <x:c r="J25" s="32" t="n">
        <x:v>12</x:v>
      </x:c>
      <x:c r="K25" s="29" t="str">
        <x:v>Da reperire un VFX distinto; l’eventuale effetto generico nel gioco non conta come assegnazione.</x:v>
      </x:c>
      <x:c r="L25" s="29" t="str"/>
    </x:row>
    <x:row r="26" ht="46" customHeight="1">
      <x:c r="A26" s="22" t="n">
        <x:v>13</x:v>
      </x:c>
      <x:c r="B26" s="19" t="str">
        <x:v>Cratere</x:v>
      </x:c>
      <x:c r="C26" s="19" t="str">
        <x:v>Terra</x:v>
      </x:c>
      <x:c r="D26" s="36" t="str">
        <x:v>Forte</x:v>
      </x:c>
      <x:c r="E26" s="19" t="str">
        <x:v>Clastoom #18</x:v>
      </x:c>
      <x:c r="F26" s="34" t="str"/>
      <x:c r="G26" s="34" t="str">
        <x:v>Da creare</x:v>
      </x:c>
      <x:c r="H26" s="24" t="str"/>
      <x:c r="I26" s="25"/>
      <x:c r="J26" s="26" t="n">
        <x:v>13</x:v>
      </x:c>
      <x:c r="K26" s="19" t="str">
        <x:v>Da reperire un VFX distinto; l’eventuale effetto generico nel gioco non conta come assegnazione.</x:v>
      </x:c>
      <x:c r="L26" s="19" t="str"/>
    </x:row>
    <x:row r="27" ht="46" customHeight="1">
      <x:c r="A27" s="28" t="n">
        <x:v>14</x:v>
      </x:c>
      <x:c r="B27" s="29" t="str">
        <x:v>Conduttore</x:v>
      </x:c>
      <x:c r="C27" s="29" t="str">
        <x:v>Elettro</x:v>
      </x:c>
      <x:c r="D27" s="27" t="str">
        <x:v>Leggera</x:v>
      </x:c>
      <x:c r="E27" s="29" t="str">
        <x:v>Ampereel #26</x:v>
      </x:c>
      <x:c r="F27" s="29" t="str">
        <x:v>Kenney Spark</x:v>
      </x:c>
      <x:c r="G27" s="29" t="str">
        <x:v>Proposta</x:v>
      </x:c>
      <x:c r="H27" s="30" t="str">
        <x:v>Bersaglio</x:v>
      </x:c>
      <x:c r="I27" s="31" t="n">
        <x:v>1</x:v>
      </x:c>
      <x:c r="J27" s="32" t="n">
        <x:v>14</x:v>
      </x:c>
      <x:c r="K27" s="29" t="str">
        <x:v>Proposta individuale basata su forma, colore e tema visivo; da verificare in anteprima. Risorsa statica, non animazione GIF/sprite sheet.</x:v>
      </x:c>
      <x:c r="L27" s="29" t="str">
        <x:v>kenneySpark</x:v>
      </x:c>
    </x:row>
    <x:row r="28" ht="46" customHeight="1">
      <x:c r="A28" s="22" t="n">
        <x:v>15</x:v>
      </x:c>
      <x:c r="B28" s="19" t="str">
        <x:v>Circuito chiuso</x:v>
      </x:c>
      <x:c r="C28" s="19" t="str">
        <x:v>Elettro</x:v>
      </x:c>
      <x:c r="D28" s="33" t="str">
        <x:v>Media</x:v>
      </x:c>
      <x:c r="E28" s="19" t="str">
        <x:v>Ampereel #27</x:v>
      </x:c>
      <x:c r="F28" s="34" t="str"/>
      <x:c r="G28" s="34" t="str">
        <x:v>Da creare</x:v>
      </x:c>
      <x:c r="H28" s="24" t="str"/>
      <x:c r="I28" s="25"/>
      <x:c r="J28" s="26" t="n">
        <x:v>15</x:v>
      </x:c>
      <x:c r="K28" s="19" t="str">
        <x:v>Da reperire un VFX distinto; l’eventuale effetto generico nel gioco non conta come assegnazione.</x:v>
      </x:c>
      <x:c r="L28" s="19" t="str"/>
    </x:row>
    <x:row r="29" ht="46" customHeight="1">
      <x:c r="A29" s="28" t="n">
        <x:v>16</x:v>
      </x:c>
      <x:c r="B29" s="29" t="str">
        <x:v>Sprint</x:v>
      </x:c>
      <x:c r="C29" s="29" t="str">
        <x:v>Normale</x:v>
      </x:c>
      <x:c r="D29" s="27" t="str">
        <x:v>Leggera</x:v>
      </x:c>
      <x:c r="E29" s="29" t="str">
        <x:v>Felvex #42</x:v>
      </x:c>
      <x:c r="F29" s="29" t="str">
        <x:v>MobEff.Img APCDash 0</x:v>
      </x:c>
      <x:c r="G29" s="29" t="str">
        <x:v>Proposta</x:v>
      </x:c>
      <x:c r="H29" s="30" t="str">
        <x:v>Bersaglio</x:v>
      </x:c>
      <x:c r="I29" s="31" t="n">
        <x:v>1</x:v>
      </x:c>
      <x:c r="J29" s="32" t="n">
        <x:v>16</x:v>
      </x:c>
      <x:c r="K29" s="29" t="str">
        <x:v>Proposta individuale basata su forma, colore e tema visivo; da verificare in anteprima.</x:v>
      </x:c>
      <x:c r="L29" s="29" t="str">
        <x:v>generated:mobeff-img_apcdash_0-images_nested_sheet</x:v>
      </x:c>
    </x:row>
    <x:row r="30" ht="46" customHeight="1">
      <x:c r="A30" s="22" t="n">
        <x:v>17</x:v>
      </x:c>
      <x:c r="B30" s="19" t="str">
        <x:v>Scatto</x:v>
      </x:c>
      <x:c r="C30" s="19" t="str">
        <x:v>Normale</x:v>
      </x:c>
      <x:c r="D30" s="33" t="str">
        <x:v>Media</x:v>
      </x:c>
      <x:c r="E30" s="19" t="str">
        <x:v>Felvex #43</x:v>
      </x:c>
      <x:c r="F30" s="19" t="str">
        <x:v>BasicEff.Img HayatoJump</x:v>
      </x:c>
      <x:c r="G30" s="19" t="str">
        <x:v>Proposta</x:v>
      </x:c>
      <x:c r="H30" s="24" t="str">
        <x:v>Bersaglio</x:v>
      </x:c>
      <x:c r="I30" s="25" t="n">
        <x:v>1</x:v>
      </x:c>
      <x:c r="J30" s="26" t="n">
        <x:v>17</x:v>
      </x:c>
      <x:c r="K30" s="19" t="str">
        <x:v>Proposta individuale basata su forma, colore e tema visivo; da verificare in anteprima.</x:v>
      </x:c>
      <x:c r="L30" s="19" t="str">
        <x:v>generated:basiceff-img_hayatojump-images_nested_sheet</x:v>
      </x:c>
    </x:row>
    <x:row r="31" ht="46" customHeight="1">
      <x:c r="A31" s="28" t="n">
        <x:v>18</x:v>
      </x:c>
      <x:c r="B31" s="29" t="str">
        <x:v>Elettroscontro</x:v>
      </x:c>
      <x:c r="C31" s="29" t="str">
        <x:v>Elettro</x:v>
      </x:c>
      <x:c r="D31" s="27" t="str">
        <x:v>Leggera</x:v>
      </x:c>
      <x:c r="E31" s="29" t="str">
        <x:v>Grimbolt #24</x:v>
      </x:c>
      <x:c r="F31" s="34" t="str"/>
      <x:c r="G31" s="34" t="str">
        <x:v>Da creare</x:v>
      </x:c>
      <x:c r="H31" s="30" t="str"/>
      <x:c r="I31" s="31"/>
      <x:c r="J31" s="32" t="n">
        <x:v>18</x:v>
      </x:c>
      <x:c r="K31" s="29" t="str">
        <x:v>Da reperire un VFX distinto; l’eventuale effetto generico nel gioco non conta come assegnazione.</x:v>
      </x:c>
      <x:c r="L31" s="29" t="str"/>
    </x:row>
    <x:row r="32" ht="46" customHeight="1">
      <x:c r="A32" s="22" t="n">
        <x:v>19</x:v>
      </x:c>
      <x:c r="B32" s="19" t="str">
        <x:v>Elettrocarica</x:v>
      </x:c>
      <x:c r="C32" s="19" t="str">
        <x:v>Elettro</x:v>
      </x:c>
      <x:c r="D32" s="33" t="str">
        <x:v>Media</x:v>
      </x:c>
      <x:c r="E32" s="19" t="str">
        <x:v>Grimbolt #25</x:v>
      </x:c>
      <x:c r="F32" s="34" t="str"/>
      <x:c r="G32" s="34" t="str">
        <x:v>Da creare</x:v>
      </x:c>
      <x:c r="H32" s="24" t="str"/>
      <x:c r="I32" s="25"/>
      <x:c r="J32" s="26" t="n">
        <x:v>19</x:v>
      </x:c>
      <x:c r="K32" s="19" t="str">
        <x:v>Da reperire un VFX distinto; l’eventuale effetto generico nel gioco non conta come assegnazione.</x:v>
      </x:c>
      <x:c r="L32" s="19" t="str"/>
    </x:row>
    <x:row r="33" ht="46" customHeight="1">
      <x:c r="A33" s="28" t="n">
        <x:v>20</x:v>
      </x:c>
      <x:c r="B33" s="29" t="str">
        <x:v>Spruzzo</x:v>
      </x:c>
      <x:c r="C33" s="29" t="str">
        <x:v>Acqua</x:v>
      </x:c>
      <x:c r="D33" s="27" t="str">
        <x:v>Leggera</x:v>
      </x:c>
      <x:c r="E33" s="29" t="str">
        <x:v>Deephion #56</x:v>
      </x:c>
      <x:c r="F33" s="29" t="str">
        <x:v>OnUserEff.Img EventEffect WaterSmash1</x:v>
      </x:c>
      <x:c r="G33" s="29" t="str">
        <x:v>Proposta</x:v>
      </x:c>
      <x:c r="H33" s="30" t="str">
        <x:v>Bersaglio</x:v>
      </x:c>
      <x:c r="I33" s="31" t="n">
        <x:v>1.5</x:v>
      </x:c>
      <x:c r="J33" s="32" t="n">
        <x:v>20</x:v>
      </x:c>
      <x:c r="K33" s="29" t="str">
        <x:v>Proposta individuale basata su forma, colore e tema visivo; da verificare in anteprima.</x:v>
      </x:c>
      <x:c r="L33" s="29" t="str">
        <x:v>generated:onusereff-img_eventeffect_watersmash1-images_nested_sheet</x:v>
      </x:c>
    </x:row>
    <x:row r="34" ht="46" customHeight="1">
      <x:c r="A34" s="22" t="n">
        <x:v>21</x:v>
      </x:c>
      <x:c r="B34" s="19" t="str">
        <x:v>Alta marea</x:v>
      </x:c>
      <x:c r="C34" s="19" t="str">
        <x:v>Acqua</x:v>
      </x:c>
      <x:c r="D34" s="33" t="str">
        <x:v>Media</x:v>
      </x:c>
      <x:c r="E34" s="19" t="str">
        <x:v>Deephion #57</x:v>
      </x:c>
      <x:c r="F34" s="34" t="str"/>
      <x:c r="G34" s="34" t="str">
        <x:v>Da creare</x:v>
      </x:c>
      <x:c r="H34" s="24" t="str"/>
      <x:c r="I34" s="25"/>
      <x:c r="J34" s="26" t="n">
        <x:v>21</x:v>
      </x:c>
      <x:c r="K34" s="19" t="str">
        <x:v>Da reperire un VFX distinto; l’eventuale effetto generico nel gioco non conta come assegnazione.</x:v>
      </x:c>
      <x:c r="L34" s="19" t="str"/>
    </x:row>
    <x:row r="35" ht="46" customHeight="1">
      <x:c r="A35" s="28" t="n">
        <x:v>22</x:v>
      </x:c>
      <x:c r="B35" s="29" t="str">
        <x:v>Spavento</x:v>
      </x:c>
      <x:c r="C35" s="29" t="str">
        <x:v>Psico</x:v>
      </x:c>
      <x:c r="D35" s="27" t="str">
        <x:v>Leggera</x:v>
      </x:c>
      <x:c r="E35" s="29" t="str">
        <x:v>Fearstraw #67</x:v>
      </x:c>
      <x:c r="F35" s="34" t="str"/>
      <x:c r="G35" s="34" t="str">
        <x:v>Da creare</x:v>
      </x:c>
      <x:c r="H35" s="30" t="str"/>
      <x:c r="I35" s="31"/>
      <x:c r="J35" s="32" t="n">
        <x:v>22</x:v>
      </x:c>
      <x:c r="K35" s="29" t="str">
        <x:v>Da reperire un VFX distinto; l’eventuale effetto generico nel gioco non conta come assegnazione.</x:v>
      </x:c>
      <x:c r="L35" s="29" t="str"/>
    </x:row>
    <x:row r="36" ht="46" customHeight="1">
      <x:c r="A36" s="22" t="n">
        <x:v>23</x:v>
      </x:c>
      <x:c r="B36" s="19" t="str">
        <x:v>Terrore</x:v>
      </x:c>
      <x:c r="C36" s="19" t="str">
        <x:v>Psico</x:v>
      </x:c>
      <x:c r="D36" s="33" t="str">
        <x:v>Media</x:v>
      </x:c>
      <x:c r="E36" s="19" t="str">
        <x:v>Fearstraw #68</x:v>
      </x:c>
      <x:c r="F36" s="19" t="str">
        <x:v>F721c5ff45edd5fb0280c4926dbf75af</x:v>
      </x:c>
      <x:c r="G36" s="19" t="str">
        <x:v>Proposta</x:v>
      </x:c>
      <x:c r="H36" s="24" t="str">
        <x:v>Bersaglio</x:v>
      </x:c>
      <x:c r="I36" s="25" t="n">
        <x:v>1</x:v>
      </x:c>
      <x:c r="J36" s="26" t="n">
        <x:v>23</x:v>
      </x:c>
      <x:c r="K36" s="19" t="str">
        <x:v>Proposta individuale basata su forma, colore e tema visivo; da verificare in anteprima.</x:v>
      </x:c>
      <x:c r="L36" s="19" t="str">
        <x:v>gif:f721c5ff45edd5fb0280c4926dbf75af</x:v>
      </x:c>
    </x:row>
    <x:row r="37" ht="46" customHeight="1">
      <x:c r="A37" s="28" t="n">
        <x:v>24</x:v>
      </x:c>
      <x:c r="B37" s="29" t="str">
        <x:v>Paradosso</x:v>
      </x:c>
      <x:c r="C37" s="29" t="str">
        <x:v>Psico</x:v>
      </x:c>
      <x:c r="D37" s="33" t="str">
        <x:v>Media</x:v>
      </x:c>
      <x:c r="E37" s="29" t="str">
        <x:v>Shrody #21</x:v>
      </x:c>
      <x:c r="F37" s="34" t="str"/>
      <x:c r="G37" s="34" t="str">
        <x:v>Da creare</x:v>
      </x:c>
      <x:c r="H37" s="30" t="str"/>
      <x:c r="I37" s="31"/>
      <x:c r="J37" s="32" t="n">
        <x:v>24</x:v>
      </x:c>
      <x:c r="K37" s="29" t="str">
        <x:v>Da reperire un VFX distinto; l’eventuale effetto generico nel gioco non conta come assegnazione.</x:v>
      </x:c>
      <x:c r="L37" s="29" t="str"/>
    </x:row>
    <x:row r="38" ht="46" customHeight="1">
      <x:c r="A38" s="22" t="n">
        <x:v>25</x:v>
      </x:c>
      <x:c r="B38" s="19" t="str">
        <x:v>Ultimo sangue</x:v>
      </x:c>
      <x:c r="C38" s="19" t="str">
        <x:v>Normale</x:v>
      </x:c>
      <x:c r="D38" s="36" t="str">
        <x:v>Forte</x:v>
      </x:c>
      <x:c r="E38" s="19" t="str">
        <x:v>Hoppiox #66</x:v>
      </x:c>
      <x:c r="F38" s="19" t="str">
        <x:v>FieldGimmickEff.Img Tentacle</x:v>
      </x:c>
      <x:c r="G38" s="19" t="str">
        <x:v>Proposta</x:v>
      </x:c>
      <x:c r="H38" s="24" t="str">
        <x:v>Centro</x:v>
      </x:c>
      <x:c r="I38" s="25" t="n">
        <x:v>1</x:v>
      </x:c>
      <x:c r="J38" s="26" t="n">
        <x:v>25</x:v>
      </x:c>
      <x:c r="K38" s="19" t="str">
        <x:v>Proposta individuale basata su forma, colore e tema visivo; da verificare in anteprima.</x:v>
      </x:c>
      <x:c r="L38" s="19" t="str">
        <x:v>generated:fieldgimmickeff-img_tentacle-images_nested_sheet</x:v>
      </x:c>
    </x:row>
    <x:row r="39" ht="46" customHeight="1">
      <x:c r="A39" s="28" t="n">
        <x:v>26</x:v>
      </x:c>
      <x:c r="B39" s="29" t="str">
        <x:v>Arrembaggio</x:v>
      </x:c>
      <x:c r="C39" s="29" t="str">
        <x:v>Acqua</x:v>
      </x:c>
      <x:c r="D39" s="36" t="str">
        <x:v>Forte</x:v>
      </x:c>
      <x:c r="E39" s="29" t="str">
        <x:v>Reliskull #82</x:v>
      </x:c>
      <x:c r="F39" s="29" t="str">
        <x:v>Shark Kick Effect</x:v>
      </x:c>
      <x:c r="G39" s="29" t="str">
        <x:v>Proposta</x:v>
      </x:c>
      <x:c r="H39" s="30" t="str">
        <x:v>Bersaglio</x:v>
      </x:c>
      <x:c r="I39" s="31" t="n">
        <x:v>1.25</x:v>
      </x:c>
      <x:c r="J39" s="32" t="n">
        <x:v>26</x:v>
      </x:c>
      <x:c r="K39" s="29" t="str">
        <x:v>Proposta individuale basata su forma, colore e tema visivo; da verificare in anteprima.</x:v>
      </x:c>
      <x:c r="L39" s="29" t="str">
        <x:v>gif:shark-kick-effect</x:v>
      </x:c>
    </x:row>
    <x:row r="40" ht="46" customHeight="1">
      <x:c r="A40" s="22" t="n">
        <x:v>27</x:v>
      </x:c>
      <x:c r="B40" s="19" t="str">
        <x:v>Onda anomala</x:v>
      </x:c>
      <x:c r="C40" s="19" t="str">
        <x:v>Acqua</x:v>
      </x:c>
      <x:c r="D40" s="36" t="str">
        <x:v>Forte</x:v>
      </x:c>
      <x:c r="E40" s="19" t="str">
        <x:v>Wailoom #61</x:v>
      </x:c>
      <x:c r="F40" s="19" t="str">
        <x:v>Water Torrent</x:v>
      </x:c>
      <x:c r="G40" s="19" t="str">
        <x:v>Proposta</x:v>
      </x:c>
      <x:c r="H40" s="24" t="str">
        <x:v>Centro</x:v>
      </x:c>
      <x:c r="I40" s="25" t="n">
        <x:v>1</x:v>
      </x:c>
      <x:c r="J40" s="26" t="n">
        <x:v>27</x:v>
      </x:c>
      <x:c r="K40" s="19" t="str">
        <x:v>Proposta individuale basata su forma, colore e tema visivo; da verificare in anteprima.</x:v>
      </x:c>
      <x:c r="L40" s="19" t="str">
        <x:v>waterTorrentGif</x:v>
      </x:c>
    </x:row>
    <x:row r="41" ht="46" customHeight="1">
      <x:c r="A41" s="28" t="n">
        <x:v>28</x:v>
      </x:c>
      <x:c r="B41" s="29" t="str">
        <x:v>Zampata</x:v>
      </x:c>
      <x:c r="C41" s="29" t="str">
        <x:v>Oscurità</x:v>
      </x:c>
      <x:c r="D41" s="27" t="str">
        <x:v>Leggera</x:v>
      </x:c>
      <x:c r="E41" s="29" t="str">
        <x:v>Darklaw #5</x:v>
      </x:c>
      <x:c r="F41" s="29" t="str">
        <x:v>Kenney Slash</x:v>
      </x:c>
      <x:c r="G41" s="29" t="str">
        <x:v>Proposta</x:v>
      </x:c>
      <x:c r="H41" s="30" t="str">
        <x:v>Bersaglio</x:v>
      </x:c>
      <x:c r="I41" s="31" t="n">
        <x:v>1</x:v>
      </x:c>
      <x:c r="J41" s="32" t="n">
        <x:v>28</x:v>
      </x:c>
      <x:c r="K41" s="29" t="str">
        <x:v>Proposta individuale basata su forma, colore e tema visivo; da verificare in anteprima. Risorsa statica, non animazione GIF/sprite sheet.</x:v>
      </x:c>
      <x:c r="L41" s="29" t="str">
        <x:v>kenneySlash</x:v>
      </x:c>
    </x:row>
    <x:row r="42" ht="46" customHeight="1">
      <x:c r="A42" s="22" t="n">
        <x:v>29</x:v>
      </x:c>
      <x:c r="B42" s="19" t="str">
        <x:v>Colpo felpato</x:v>
      </x:c>
      <x:c r="C42" s="19" t="str">
        <x:v>Oscurità</x:v>
      </x:c>
      <x:c r="D42" s="33" t="str">
        <x:v>Media</x:v>
      </x:c>
      <x:c r="E42" s="19" t="str">
        <x:v>Darklaw #6</x:v>
      </x:c>
      <x:c r="F42" s="19" t="str">
        <x:v>EffectJP.Img Zipang TengouHit</x:v>
      </x:c>
      <x:c r="G42" s="19" t="str">
        <x:v>Proposta</x:v>
      </x:c>
      <x:c r="H42" s="24" t="str">
        <x:v>Bersaglio</x:v>
      </x:c>
      <x:c r="I42" s="25" t="n">
        <x:v>1</x:v>
      </x:c>
      <x:c r="J42" s="26" t="n">
        <x:v>29</x:v>
      </x:c>
      <x:c r="K42" s="19" t="str">
        <x:v>Proposta individuale basata su forma, colore e tema visivo; da verificare in anteprima.</x:v>
      </x:c>
      <x:c r="L42" s="19" t="str">
        <x:v>generated:effectjp-img_zipang_tengouhit-images_nested_sheet</x:v>
      </x:c>
    </x:row>
    <x:row r="43" ht="46" customHeight="1">
      <x:c r="A43" s="28" t="n">
        <x:v>30</x:v>
      </x:c>
      <x:c r="B43" s="29" t="str">
        <x:v>Artigli del terrore</x:v>
      </x:c>
      <x:c r="C43" s="29" t="str">
        <x:v>Oscurità</x:v>
      </x:c>
      <x:c r="D43" s="33" t="str">
        <x:v>Media</x:v>
      </x:c>
      <x:c r="E43" s="29" t="str">
        <x:v>Darklaw #7</x:v>
      </x:c>
      <x:c r="F43" s="29" t="str">
        <x:v>27c650209255d638948a6215ffea9c78</x:v>
      </x:c>
      <x:c r="G43" s="37" t="str">
        <x:v>Calibrazione confermata</x:v>
      </x:c>
      <x:c r="H43" s="30" t="str">
        <x:v>Bersaglio</x:v>
      </x:c>
      <x:c r="I43" s="31" t="n">
        <x:v>1.25</x:v>
      </x:c>
      <x:c r="J43" s="32" t="n">
        <x:v>30</x:v>
      </x:c>
      <x:c r="K43" s="29" t="str">
        <x:v>Calibrazione confermata dall’utente; assegnazione individuale secondo il colore del moveset.</x:v>
      </x:c>
      <x:c r="L43" s="29" t="str">
        <x:v>gif:27c650209255d638948a6215ffea9c78</x:v>
      </x:c>
    </x:row>
    <x:row r="44" ht="46" customHeight="1">
      <x:c r="A44" s="22" t="n">
        <x:v>31</x:v>
      </x:c>
      <x:c r="B44" s="19" t="str">
        <x:v>Abisso tenebroso</x:v>
      </x:c>
      <x:c r="C44" s="19" t="str">
        <x:v>Oscurità</x:v>
      </x:c>
      <x:c r="D44" s="36" t="str">
        <x:v>Forte</x:v>
      </x:c>
      <x:c r="E44" s="19" t="str">
        <x:v>Darklaw #8</x:v>
      </x:c>
      <x:c r="F44" s="19" t="str">
        <x:v>HighMountain.Img Effect Tynus Burst 0</x:v>
      </x:c>
      <x:c r="G44" s="19" t="str">
        <x:v>Proposta</x:v>
      </x:c>
      <x:c r="H44" s="24" t="str">
        <x:v>Bersaglio</x:v>
      </x:c>
      <x:c r="I44" s="25" t="n">
        <x:v>1</x:v>
      </x:c>
      <x:c r="J44" s="26" t="n">
        <x:v>31</x:v>
      </x:c>
      <x:c r="K44" s="19" t="str">
        <x:v>Proposta individuale basata su forma, colore e tema visivo; da verificare in anteprima.</x:v>
      </x:c>
      <x:c r="L44" s="19" t="str">
        <x:v>generated:highmountain-img_effect_tynus_burst_0-images_nested_sheet</x:v>
      </x:c>
    </x:row>
    <x:row r="45" ht="46" customHeight="1">
      <x:c r="A45" s="28" t="n">
        <x:v>32</x:v>
      </x:c>
      <x:c r="B45" s="29" t="str">
        <x:v>Alito incandescente</x:v>
      </x:c>
      <x:c r="C45" s="29" t="str">
        <x:v>Fuoco</x:v>
      </x:c>
      <x:c r="D45" s="27" t="str">
        <x:v>Leggera</x:v>
      </x:c>
      <x:c r="E45" s="29" t="str">
        <x:v>Pyrodil #92</x:v>
      </x:c>
      <x:c r="F45" s="34" t="str"/>
      <x:c r="G45" s="34" t="str">
        <x:v>Da creare</x:v>
      </x:c>
      <x:c r="H45" s="30" t="str"/>
      <x:c r="I45" s="31"/>
      <x:c r="J45" s="32" t="n">
        <x:v>32</x:v>
      </x:c>
      <x:c r="K45" s="29" t="str">
        <x:v>Da reperire un VFX distinto; l’eventuale effetto generico nel gioco non conta come assegnazione.</x:v>
      </x:c>
      <x:c r="L45" s="29" t="str"/>
    </x:row>
    <x:row r="46" ht="46" customHeight="1">
      <x:c r="A46" s="22" t="n">
        <x:v>33</x:v>
      </x:c>
      <x:c r="B46" s="19" t="str">
        <x:v>Sbuffo magmatico</x:v>
      </x:c>
      <x:c r="C46" s="19" t="str">
        <x:v>Fuoco</x:v>
      </x:c>
      <x:c r="D46" s="33" t="str">
        <x:v>Media</x:v>
      </x:c>
      <x:c r="E46" s="19" t="str">
        <x:v>Pyrodil #93</x:v>
      </x:c>
      <x:c r="F46" s="34" t="str"/>
      <x:c r="G46" s="34" t="str">
        <x:v>Da creare</x:v>
      </x:c>
      <x:c r="H46" s="24" t="str"/>
      <x:c r="I46" s="25"/>
      <x:c r="J46" s="26" t="n">
        <x:v>33</x:v>
      </x:c>
      <x:c r="K46" s="19" t="str">
        <x:v>Da reperire un VFX distinto; l’eventuale effetto generico nel gioco non conta come assegnazione.</x:v>
      </x:c>
      <x:c r="L46" s="19" t="str"/>
    </x:row>
    <x:row r="47" ht="46" customHeight="1">
      <x:c r="A47" s="28" t="n">
        <x:v>34</x:v>
      </x:c>
      <x:c r="B47" s="29" t="str">
        <x:v>Soffio lavico</x:v>
      </x:c>
      <x:c r="C47" s="29" t="str">
        <x:v>Fuoco</x:v>
      </x:c>
      <x:c r="D47" s="36" t="str">
        <x:v>Forte</x:v>
      </x:c>
      <x:c r="E47" s="29" t="str">
        <x:v>Pyrodil #94</x:v>
      </x:c>
      <x:c r="F47" s="34" t="str"/>
      <x:c r="G47" s="34" t="str">
        <x:v>Da creare</x:v>
      </x:c>
      <x:c r="H47" s="30" t="str"/>
      <x:c r="I47" s="31"/>
      <x:c r="J47" s="32" t="n">
        <x:v>34</x:v>
      </x:c>
      <x:c r="K47" s="29" t="str">
        <x:v>Da reperire un VFX distinto; l’eventuale effetto generico nel gioco non conta come assegnazione.</x:v>
      </x:c>
      <x:c r="L47" s="29" t="str"/>
    </x:row>
    <x:row r="48" ht="46" customHeight="1">
      <x:c r="A48" s="22" t="n">
        <x:v>35</x:v>
      </x:c>
      <x:c r="B48" s="19" t="str">
        <x:v>Mani brucianti</x:v>
      </x:c>
      <x:c r="C48" s="19" t="str">
        <x:v>Fuoco</x:v>
      </x:c>
      <x:c r="D48" s="27" t="str">
        <x:v>Leggera</x:v>
      </x:c>
      <x:c r="E48" s="19" t="str">
        <x:v>Impise #74</x:v>
      </x:c>
      <x:c r="F48" s="19" t="str">
        <x:v>PvPEff.Img Die PVPA12 Die</x:v>
      </x:c>
      <x:c r="G48" s="19" t="str">
        <x:v>Proposta</x:v>
      </x:c>
      <x:c r="H48" s="24" t="str">
        <x:v>Bersaglio</x:v>
      </x:c>
      <x:c r="I48" s="25" t="n">
        <x:v>1</x:v>
      </x:c>
      <x:c r="J48" s="26" t="n">
        <x:v>35</x:v>
      </x:c>
      <x:c r="K48" s="19" t="str">
        <x:v>Proposta individuale basata su forma, colore e tema visivo; da verificare in anteprima.</x:v>
      </x:c>
      <x:c r="L48" s="19" t="str">
        <x:v>generated:pvpeff-img_die_pvpa12_die-images_nested_sheet</x:v>
      </x:c>
    </x:row>
    <x:row r="49" ht="46" customHeight="1">
      <x:c r="A49" s="28" t="n">
        <x:v>36</x:v>
      </x:c>
      <x:c r="B49" s="29" t="str">
        <x:v>Palla di fuoco</x:v>
      </x:c>
      <x:c r="C49" s="29" t="str">
        <x:v>Fuoco</x:v>
      </x:c>
      <x:c r="D49" s="33" t="str">
        <x:v>Media</x:v>
      </x:c>
      <x:c r="E49" s="29" t="str">
        <x:v>Impise #75</x:v>
      </x:c>
      <x:c r="F49" s="29" t="str">
        <x:v>Fireball</x:v>
      </x:c>
      <x:c r="G49" s="29" t="str">
        <x:v>Proposta</x:v>
      </x:c>
      <x:c r="H49" s="30" t="str">
        <x:v>Bersaglio</x:v>
      </x:c>
      <x:c r="I49" s="31" t="n">
        <x:v>1</x:v>
      </x:c>
      <x:c r="J49" s="32" t="n">
        <x:v>36</x:v>
      </x:c>
      <x:c r="K49" s="29" t="str">
        <x:v>Proposta individuale basata su forma, colore e tema visivo; da verificare in anteprima.</x:v>
      </x:c>
      <x:c r="L49" s="29" t="str">
        <x:v>fireballGif</x:v>
      </x:c>
    </x:row>
    <x:row r="50" ht="46" customHeight="1">
      <x:c r="A50" s="22" t="n">
        <x:v>37</x:v>
      </x:c>
      <x:c r="B50" s="19" t="str">
        <x:v>Ardemonio</x:v>
      </x:c>
      <x:c r="C50" s="19" t="str">
        <x:v>Fuoco</x:v>
      </x:c>
      <x:c r="D50" s="36" t="str">
        <x:v>Forte</x:v>
      </x:c>
      <x:c r="E50" s="19" t="str">
        <x:v>Impise #76</x:v>
      </x:c>
      <x:c r="F50" s="19" t="str">
        <x:v>HighMountain.Img Effect Mitra Aura F 0</x:v>
      </x:c>
      <x:c r="G50" s="19" t="str">
        <x:v>Proposta</x:v>
      </x:c>
      <x:c r="H50" s="24" t="str">
        <x:v>Bersaglio</x:v>
      </x:c>
      <x:c r="I50" s="25" t="n">
        <x:v>1.25</x:v>
      </x:c>
      <x:c r="J50" s="26" t="n">
        <x:v>37</x:v>
      </x:c>
      <x:c r="K50" s="19" t="str">
        <x:v>Proposta individuale basata su forma, colore e tema visivo; da verificare in anteprima.</x:v>
      </x:c>
      <x:c r="L50" s="19" t="str">
        <x:v>generated:highmountain-img_effect_mitra_aura_f_0-images_nested_sheet</x:v>
      </x:c>
    </x:row>
    <x:row r="51" ht="46" customHeight="1">
      <x:c r="A51" s="28" t="n">
        <x:v>38</x:v>
      </x:c>
      <x:c r="B51" s="29" t="str">
        <x:v>Scossa</x:v>
      </x:c>
      <x:c r="C51" s="29" t="str">
        <x:v>Elettro</x:v>
      </x:c>
      <x:c r="D51" s="27" t="str">
        <x:v>Leggera</x:v>
      </x:c>
      <x:c r="E51" s="29" t="str">
        <x:v>Chimzap #36</x:v>
      </x:c>
      <x:c r="F51" s="29" t="str">
        <x:v>AnglerCompany.Img SubBoss ChargedCannon Blue Hit</x:v>
      </x:c>
      <x:c r="G51" s="37" t="str">
        <x:v>Calibrazione confermata</x:v>
      </x:c>
      <x:c r="H51" s="30" t="str">
        <x:v>Bersaglio</x:v>
      </x:c>
      <x:c r="I51" s="31" t="n">
        <x:v>1.25</x:v>
      </x:c>
      <x:c r="J51" s="32" t="n">
        <x:v>38</x:v>
      </x:c>
      <x:c r="K51" s="29" t="str">
        <x:v>Calibrazione confermata dall’utente; assegnazione individuale secondo il colore del moveset.</x:v>
      </x:c>
      <x:c r="L51" s="29" t="str">
        <x:v>generated:anglercompany-img_subboss_chargedcannon_blue_hit-images_nested_sheet</x:v>
      </x:c>
    </x:row>
    <x:row r="52" ht="46" customHeight="1">
      <x:c r="A52" s="22" t="n">
        <x:v>39</x:v>
      </x:c>
      <x:c r="B52" s="19" t="str">
        <x:v>Lampo</x:v>
      </x:c>
      <x:c r="C52" s="19" t="str">
        <x:v>Elettro</x:v>
      </x:c>
      <x:c r="D52" s="33" t="str">
        <x:v>Media</x:v>
      </x:c>
      <x:c r="E52" s="19" t="str">
        <x:v>Chimzap #37</x:v>
      </x:c>
      <x:c r="F52" s="19" t="str">
        <x:v>Direction.Img Effect Skill Spark 0</x:v>
      </x:c>
      <x:c r="G52" s="37" t="str">
        <x:v>Calibrazione confermata</x:v>
      </x:c>
      <x:c r="H52" s="24" t="str">
        <x:v>Bersaglio</x:v>
      </x:c>
      <x:c r="I52" s="25" t="n">
        <x:v>1.5</x:v>
      </x:c>
      <x:c r="J52" s="26" t="n">
        <x:v>39</x:v>
      </x:c>
      <x:c r="K52" s="19" t="str">
        <x:v>Calibrazione confermata dall’utente; assegnazione individuale secondo il colore del moveset.</x:v>
      </x:c>
      <x:c r="L52" s="19" t="str">
        <x:v>generated:direction-img_effect_skill_spark_0-images_nested_sheet</x:v>
      </x:c>
    </x:row>
    <x:row r="53" ht="46" customHeight="1">
      <x:c r="A53" s="28" t="n">
        <x:v>40</x:v>
      </x:c>
      <x:c r="B53" s="29" t="str">
        <x:v>Lotta tonante</x:v>
      </x:c>
      <x:c r="C53" s="29" t="str">
        <x:v>Elettro</x:v>
      </x:c>
      <x:c r="D53" s="36" t="str">
        <x:v>Forte</x:v>
      </x:c>
      <x:c r="E53" s="29" t="str">
        <x:v>Chimzap #38</x:v>
      </x:c>
      <x:c r="F53" s="34" t="str"/>
      <x:c r="G53" s="34" t="str">
        <x:v>Da creare</x:v>
      </x:c>
      <x:c r="H53" s="30" t="str"/>
      <x:c r="I53" s="31"/>
      <x:c r="J53" s="32" t="n">
        <x:v>40</x:v>
      </x:c>
      <x:c r="K53" s="29" t="str">
        <x:v>Da reperire un VFX distinto; l’eventuale effetto generico nel gioco non conta come assegnazione.</x:v>
      </x:c>
      <x:c r="L53" s="29" t="str"/>
    </x:row>
    <x:row r="54" ht="46" customHeight="1">
      <x:c r="A54" s="22" t="n">
        <x:v>41</x:v>
      </x:c>
      <x:c r="B54" s="19" t="str">
        <x:v>Fioritura</x:v>
      </x:c>
      <x:c r="C54" s="19" t="str">
        <x:v>Erba</x:v>
      </x:c>
      <x:c r="D54" s="27" t="str">
        <x:v>Leggera</x:v>
      </x:c>
      <x:c r="E54" s="19" t="str">
        <x:v>Silvard #28</x:v>
      </x:c>
      <x:c r="F54" s="19" t="str">
        <x:v>Shimmer</x:v>
      </x:c>
      <x:c r="G54" s="19" t="str">
        <x:v>Proposta</x:v>
      </x:c>
      <x:c r="H54" s="24" t="str">
        <x:v>Bersaglio</x:v>
      </x:c>
      <x:c r="I54" s="25" t="n">
        <x:v>1</x:v>
      </x:c>
      <x:c r="J54" s="26" t="n">
        <x:v>41</x:v>
      </x:c>
      <x:c r="K54" s="19" t="str">
        <x:v>Proposta individuale basata su forma, colore e tema visivo; da verificare in anteprima.</x:v>
      </x:c>
      <x:c r="L54" s="19" t="str">
        <x:v>shimmer</x:v>
      </x:c>
    </x:row>
    <x:row r="55" ht="46" customHeight="1">
      <x:c r="A55" s="28" t="n">
        <x:v>42</x:v>
      </x:c>
      <x:c r="B55" s="29" t="str">
        <x:v>Florilegio letale</x:v>
      </x:c>
      <x:c r="C55" s="29" t="str">
        <x:v>Erba</x:v>
      </x:c>
      <x:c r="D55" s="33" t="str">
        <x:v>Media</x:v>
      </x:c>
      <x:c r="E55" s="29" t="str">
        <x:v>Silvard #29</x:v>
      </x:c>
      <x:c r="F55" s="34" t="str"/>
      <x:c r="G55" s="34" t="str">
        <x:v>Da creare</x:v>
      </x:c>
      <x:c r="H55" s="30" t="str"/>
      <x:c r="I55" s="31"/>
      <x:c r="J55" s="32" t="n">
        <x:v>42</x:v>
      </x:c>
      <x:c r="K55" s="29" t="str">
        <x:v>Da reperire un VFX distinto; l’eventuale effetto generico nel gioco non conta come assegnazione.</x:v>
      </x:c>
      <x:c r="L55" s="29" t="str"/>
    </x:row>
    <x:row r="56" ht="46" customHeight="1">
      <x:c r="A56" s="22" t="n">
        <x:v>43</x:v>
      </x:c>
      <x:c r="B56" s="19" t="str">
        <x:v>Controllo mentale</x:v>
      </x:c>
      <x:c r="C56" s="19" t="str">
        <x:v>Psico</x:v>
      </x:c>
      <x:c r="D56" s="27" t="str">
        <x:v>Leggera</x:v>
      </x:c>
      <x:c r="E56" s="19" t="str">
        <x:v>Psycroak #84</x:v>
      </x:c>
      <x:c r="F56" s="19" t="str">
        <x:v>AnglerCompany.Img SubBoss RailCannon Hit</x:v>
      </x:c>
      <x:c r="G56" s="19" t="str">
        <x:v>Proposta</x:v>
      </x:c>
      <x:c r="H56" s="24" t="str">
        <x:v>Bersaglio</x:v>
      </x:c>
      <x:c r="I56" s="25" t="n">
        <x:v>1</x:v>
      </x:c>
      <x:c r="J56" s="26" t="n">
        <x:v>43</x:v>
      </x:c>
      <x:c r="K56" s="19" t="str">
        <x:v>Proposta individuale basata su forma, colore e tema visivo; da verificare in anteprima.</x:v>
      </x:c>
      <x:c r="L56" s="19" t="str">
        <x:v>generated:anglercompany-img_subboss_railcannon_hit-images_nested_sheet</x:v>
      </x:c>
    </x:row>
    <x:row r="57" ht="46" customHeight="1">
      <x:c r="A57" s="28" t="n">
        <x:v>44</x:v>
      </x:c>
      <x:c r="B57" s="29" t="str">
        <x:v>Collasso nervoso</x:v>
      </x:c>
      <x:c r="C57" s="29" t="str">
        <x:v>Psico</x:v>
      </x:c>
      <x:c r="D57" s="33" t="str">
        <x:v>Media</x:v>
      </x:c>
      <x:c r="E57" s="29" t="str">
        <x:v>Psycroak #85</x:v>
      </x:c>
      <x:c r="F57" s="34" t="str"/>
      <x:c r="G57" s="34" t="str">
        <x:v>Da creare</x:v>
      </x:c>
      <x:c r="H57" s="30" t="str"/>
      <x:c r="I57" s="31"/>
      <x:c r="J57" s="32" t="n">
        <x:v>44</x:v>
      </x:c>
      <x:c r="K57" s="29" t="str">
        <x:v>Da reperire un VFX distinto; l’eventuale effetto generico nel gioco non conta come assegnazione.</x:v>
      </x:c>
      <x:c r="L57" s="29" t="str"/>
    </x:row>
    <x:row r="58" ht="46" customHeight="1">
      <x:c r="A58" s="22" t="n">
        <x:v>45</x:v>
      </x:c>
      <x:c r="B58" s="19" t="str">
        <x:v>Urlo straziante</x:v>
      </x:c>
      <x:c r="C58" s="19" t="str">
        <x:v>Oscurità</x:v>
      </x:c>
      <x:c r="D58" s="27" t="str">
        <x:v>Leggera</x:v>
      </x:c>
      <x:c r="E58" s="19" t="str">
        <x:v>Spectron #45</x:v>
      </x:c>
      <x:c r="F58" s="34" t="str"/>
      <x:c r="G58" s="34" t="str">
        <x:v>Da creare</x:v>
      </x:c>
      <x:c r="H58" s="24" t="str"/>
      <x:c r="I58" s="25"/>
      <x:c r="J58" s="26" t="n">
        <x:v>45</x:v>
      </x:c>
      <x:c r="K58" s="19" t="str">
        <x:v>Da reperire un VFX distinto; l’eventuale effetto generico nel gioco non conta come assegnazione.</x:v>
      </x:c>
      <x:c r="L58" s="19" t="str"/>
    </x:row>
    <x:row r="59" ht="46" customHeight="1">
      <x:c r="A59" s="28" t="n">
        <x:v>46</x:v>
      </x:c>
      <x:c r="B59" s="29" t="str">
        <x:v>Materia oscura</x:v>
      </x:c>
      <x:c r="C59" s="29" t="str">
        <x:v>Oscurità</x:v>
      </x:c>
      <x:c r="D59" s="36" t="str">
        <x:v>Forte</x:v>
      </x:c>
      <x:c r="E59" s="29" t="str">
        <x:v>Spectron #46</x:v>
      </x:c>
      <x:c r="F59" s="29" t="str">
        <x:v>EliteMobEff.Img GrandisIndividualEliteBossEffect</x:v>
      </x:c>
      <x:c r="G59" s="29" t="str">
        <x:v>Proposta</x:v>
      </x:c>
      <x:c r="H59" s="30" t="str">
        <x:v>Bersaglio</x:v>
      </x:c>
      <x:c r="I59" s="31" t="n">
        <x:v>1</x:v>
      </x:c>
      <x:c r="J59" s="32" t="n">
        <x:v>46</x:v>
      </x:c>
      <x:c r="K59" s="29" t="str">
        <x:v>Proposta individuale basata su forma, colore e tema visivo; da verificare in anteprima.</x:v>
      </x:c>
      <x:c r="L59" s="29" t="str">
        <x:v>generated:elitemobeff-img_grandisindividualelitebosseffect-images_nested_sheet</x:v>
      </x:c>
    </x:row>
    <x:row r="60" ht="46" customHeight="1">
      <x:c r="A60" s="22" t="n">
        <x:v>47</x:v>
      </x:c>
      <x:c r="B60" s="19" t="str">
        <x:v>Spazzata</x:v>
      </x:c>
      <x:c r="C60" s="19" t="str">
        <x:v>Oscurità</x:v>
      </x:c>
      <x:c r="D60" s="27" t="str">
        <x:v>Leggera</x:v>
      </x:c>
      <x:c r="E60" s="19" t="str">
        <x:v>Xesar #101</x:v>
      </x:c>
      <x:c r="F60" s="19" t="str">
        <x:v>BasicEff.Img NAJump</x:v>
      </x:c>
      <x:c r="G60" s="19" t="str">
        <x:v>Proposta</x:v>
      </x:c>
      <x:c r="H60" s="24" t="str">
        <x:v>Bersaglio</x:v>
      </x:c>
      <x:c r="I60" s="25" t="n">
        <x:v>1</x:v>
      </x:c>
      <x:c r="J60" s="26" t="n">
        <x:v>47</x:v>
      </x:c>
      <x:c r="K60" s="19" t="str">
        <x:v>Proposta individuale basata su forma, colore e tema visivo; da verificare in anteprima.</x:v>
      </x:c>
      <x:c r="L60" s="19" t="str">
        <x:v>generated:basiceff-img_najump-images_nested_sheet</x:v>
      </x:c>
    </x:row>
    <x:row r="61" ht="46" customHeight="1">
      <x:c r="A61" s="28" t="n">
        <x:v>48</x:v>
      </x:c>
      <x:c r="B61" s="29" t="str">
        <x:v>Falcidiata</x:v>
      </x:c>
      <x:c r="C61" s="29" t="str">
        <x:v>Oscurità</x:v>
      </x:c>
      <x:c r="D61" s="33" t="str">
        <x:v>Media</x:v>
      </x:c>
      <x:c r="E61" s="29" t="str">
        <x:v>Xesar #102</x:v>
      </x:c>
      <x:c r="F61" s="34" t="str"/>
      <x:c r="G61" s="34" t="str">
        <x:v>Da creare</x:v>
      </x:c>
      <x:c r="H61" s="30" t="str"/>
      <x:c r="I61" s="31"/>
      <x:c r="J61" s="32" t="n">
        <x:v>48</x:v>
      </x:c>
      <x:c r="K61" s="29" t="str">
        <x:v>Da reperire un VFX distinto; l’eventuale effetto generico nel gioco non conta come assegnazione.</x:v>
      </x:c>
      <x:c r="L61" s="29" t="str"/>
    </x:row>
    <x:row r="62" ht="46" customHeight="1">
      <x:c r="A62" s="22" t="n">
        <x:v>49</x:v>
      </x:c>
      <x:c r="B62" s="19" t="str">
        <x:v>Inumidire</x:v>
      </x:c>
      <x:c r="C62" s="19" t="str">
        <x:v>Acqua</x:v>
      </x:c>
      <x:c r="D62" s="27" t="str">
        <x:v>Leggera</x:v>
      </x:c>
      <x:c r="E62" s="19" t="str">
        <x:v>Lickard #69</x:v>
      </x:c>
      <x:c r="F62" s="19" t="str">
        <x:v>PvPEff.Img Die PVPA2 Die</x:v>
      </x:c>
      <x:c r="G62" s="19" t="str">
        <x:v>Proposta</x:v>
      </x:c>
      <x:c r="H62" s="24" t="str">
        <x:v>Bersaglio</x:v>
      </x:c>
      <x:c r="I62" s="25" t="n">
        <x:v>1</x:v>
      </x:c>
      <x:c r="J62" s="26" t="n">
        <x:v>49</x:v>
      </x:c>
      <x:c r="K62" s="19" t="str">
        <x:v>Proposta individuale basata su forma, colore e tema visivo; da verificare in anteprima.</x:v>
      </x:c>
      <x:c r="L62" s="19" t="str">
        <x:v>generated:pvpeff-img_die_pvpa2_die-images_nested_sheet</x:v>
      </x:c>
    </x:row>
    <x:row r="63" ht="46" customHeight="1">
      <x:c r="A63" s="28" t="n">
        <x:v>50</x:v>
      </x:c>
      <x:c r="B63" s="29" t="str">
        <x:v>Attacco fradicio</x:v>
      </x:c>
      <x:c r="C63" s="29" t="str">
        <x:v>Acqua</x:v>
      </x:c>
      <x:c r="D63" s="33" t="str">
        <x:v>Media</x:v>
      </x:c>
      <x:c r="E63" s="29" t="str">
        <x:v>Lickard #70</x:v>
      </x:c>
      <x:c r="F63" s="29" t="str">
        <x:v>Water</x:v>
      </x:c>
      <x:c r="G63" s="29" t="str">
        <x:v>Proposta</x:v>
      </x:c>
      <x:c r="H63" s="30" t="str">
        <x:v>Bersaglio</x:v>
      </x:c>
      <x:c r="I63" s="31" t="n">
        <x:v>1</x:v>
      </x:c>
      <x:c r="J63" s="32" t="n">
        <x:v>50</x:v>
      </x:c>
      <x:c r="K63" s="29" t="str">
        <x:v>Proposta individuale basata su forma, colore e tema visivo; da verificare in anteprima.</x:v>
      </x:c>
      <x:c r="L63" s="29" t="str">
        <x:v>waterGif</x:v>
      </x:c>
    </x:row>
    <x:row r="64" ht="46" customHeight="1">
      <x:c r="A64" s="22" t="n">
        <x:v>51</x:v>
      </x:c>
      <x:c r="B64" s="19" t="str">
        <x:v>Tempesta magnetica</x:v>
      </x:c>
      <x:c r="C64" s="19" t="str">
        <x:v>Elettro</x:v>
      </x:c>
      <x:c r="D64" s="36" t="str">
        <x:v>Forte</x:v>
      </x:c>
      <x:c r="E64" s="19" t="str">
        <x:v>Voltrake #22</x:v>
      </x:c>
      <x:c r="F64" s="19" t="str">
        <x:v>Electric Charge Effect</x:v>
      </x:c>
      <x:c r="G64" s="19" t="str">
        <x:v>Proposta</x:v>
      </x:c>
      <x:c r="H64" s="24" t="str">
        <x:v>Bersaglio</x:v>
      </x:c>
      <x:c r="I64" s="25" t="n">
        <x:v>1</x:v>
      </x:c>
      <x:c r="J64" s="26" t="n">
        <x:v>51</x:v>
      </x:c>
      <x:c r="K64" s="19" t="str">
        <x:v>Proposta individuale basata su forma, colore e tema visivo; da verificare in anteprima.</x:v>
      </x:c>
      <x:c r="L64" s="19" t="str">
        <x:v>gif:electric-charge-effect</x:v>
      </x:c>
    </x:row>
    <x:row r="65" ht="46" customHeight="1">
      <x:c r="A65" s="28" t="n">
        <x:v>52</x:v>
      </x:c>
      <x:c r="B65" s="29" t="str">
        <x:v>Temporale</x:v>
      </x:c>
      <x:c r="C65" s="29" t="str">
        <x:v>Elettro</x:v>
      </x:c>
      <x:c r="D65" s="33" t="str">
        <x:v>Media</x:v>
      </x:c>
      <x:c r="E65" s="29" t="str">
        <x:v>Sparkly #23</x:v>
      </x:c>
      <x:c r="F65" s="29" t="str">
        <x:v>Thunder Effect</x:v>
      </x:c>
      <x:c r="G65" s="29" t="str">
        <x:v>Proposta</x:v>
      </x:c>
      <x:c r="H65" s="30" t="str">
        <x:v>Bersaglio</x:v>
      </x:c>
      <x:c r="I65" s="31" t="n">
        <x:v>1</x:v>
      </x:c>
      <x:c r="J65" s="32" t="n">
        <x:v>52</x:v>
      </x:c>
      <x:c r="K65" s="29" t="str">
        <x:v>Proposta individuale basata su forma, colore e tema visivo; da verificare in anteprima.</x:v>
      </x:c>
      <x:c r="L65" s="29" t="str">
        <x:v>gif:thunder-effect</x:v>
      </x:c>
    </x:row>
    <x:row r="66" ht="46" customHeight="1">
      <x:c r="A66" s="22" t="n">
        <x:v>53</x:v>
      </x:c>
      <x:c r="B66" s="19" t="str">
        <x:v>Angoscia</x:v>
      </x:c>
      <x:c r="C66" s="19" t="str">
        <x:v>Psico</x:v>
      </x:c>
      <x:c r="D66" s="33" t="str">
        <x:v>Media</x:v>
      </x:c>
      <x:c r="E66" s="19" t="str">
        <x:v>Cerebron #83</x:v>
      </x:c>
      <x:c r="F66" s="19" t="str">
        <x:v>HekatonEff 1008.Img AreaWarning</x:v>
      </x:c>
      <x:c r="G66" s="19" t="str">
        <x:v>Proposta</x:v>
      </x:c>
      <x:c r="H66" s="24" t="str">
        <x:v>Centro</x:v>
      </x:c>
      <x:c r="I66" s="25" t="n">
        <x:v>1</x:v>
      </x:c>
      <x:c r="J66" s="26" t="n">
        <x:v>53</x:v>
      </x:c>
      <x:c r="K66" s="19" t="str">
        <x:v>Proposta individuale basata su forma, colore e tema visivo; da verificare in anteprima.</x:v>
      </x:c>
      <x:c r="L66" s="19" t="str">
        <x:v>generated:hekatoneff_1008-img_areawarning-images_nested_sheet</x:v>
      </x:c>
    </x:row>
    <x:row r="67" ht="46" customHeight="1">
      <x:c r="A67" s="28" t="n">
        <x:v>54</x:v>
      </x:c>
      <x:c r="B67" s="29" t="str">
        <x:v>Avanzata</x:v>
      </x:c>
      <x:c r="C67" s="29" t="str">
        <x:v>Normale</x:v>
      </x:c>
      <x:c r="D67" s="27" t="str">
        <x:v>Leggera</x:v>
      </x:c>
      <x:c r="E67" s="29" t="str">
        <x:v>Piox #65</x:v>
      </x:c>
      <x:c r="F67" s="34" t="str"/>
      <x:c r="G67" s="34" t="str">
        <x:v>Da creare</x:v>
      </x:c>
      <x:c r="H67" s="30" t="str"/>
      <x:c r="I67" s="31"/>
      <x:c r="J67" s="32" t="n">
        <x:v>54</x:v>
      </x:c>
      <x:c r="K67" s="29" t="str">
        <x:v>Da reperire un VFX distinto; l’eventuale effetto generico nel gioco non conta come assegnazione.</x:v>
      </x:c>
      <x:c r="L67" s="29" t="str"/>
    </x:row>
    <x:row r="68" ht="46" customHeight="1">
      <x:c r="A68" s="22" t="n">
        <x:v>55</x:v>
      </x:c>
      <x:c r="B68" s="19" t="str">
        <x:v>Sussurro</x:v>
      </x:c>
      <x:c r="C68" s="19" t="str">
        <x:v>Psico</x:v>
      </x:c>
      <x:c r="D68" s="27" t="str">
        <x:v>Leggera</x:v>
      </x:c>
      <x:c r="E68" s="19" t="str">
        <x:v>Felyss #9</x:v>
      </x:c>
      <x:c r="F68" s="34" t="str"/>
      <x:c r="G68" s="34" t="str">
        <x:v>Da creare</x:v>
      </x:c>
      <x:c r="H68" s="24" t="str"/>
      <x:c r="I68" s="25"/>
      <x:c r="J68" s="26" t="n">
        <x:v>55</x:v>
      </x:c>
      <x:c r="K68" s="19" t="str">
        <x:v>Da reperire un VFX distinto; l’eventuale effetto generico nel gioco non conta come assegnazione.</x:v>
      </x:c>
      <x:c r="L68" s="19" t="str"/>
    </x:row>
    <x:row r="69" ht="46" customHeight="1">
      <x:c r="A69" s="28" t="n">
        <x:v>56</x:v>
      </x:c>
      <x:c r="B69" s="29" t="str">
        <x:v>Sesto senso</x:v>
      </x:c>
      <x:c r="C69" s="29" t="str">
        <x:v>Psico</x:v>
      </x:c>
      <x:c r="D69" s="33" t="str">
        <x:v>Media</x:v>
      </x:c>
      <x:c r="E69" s="29" t="str">
        <x:v>Felyss #10</x:v>
      </x:c>
      <x:c r="F69" s="29" t="str">
        <x:v>BasicEff.Img PsychicWorkUpward</x:v>
      </x:c>
      <x:c r="G69" s="29" t="str">
        <x:v>Proposta</x:v>
      </x:c>
      <x:c r="H69" s="30" t="str">
        <x:v>Bersaglio</x:v>
      </x:c>
      <x:c r="I69" s="31" t="n">
        <x:v>1</x:v>
      </x:c>
      <x:c r="J69" s="32" t="n">
        <x:v>56</x:v>
      </x:c>
      <x:c r="K69" s="29" t="str">
        <x:v>Proposta individuale basata su forma, colore e tema visivo; da verificare in anteprima.</x:v>
      </x:c>
      <x:c r="L69" s="29" t="str">
        <x:v>generated:basiceff-img_psychicworkupward-images_nested_sheet</x:v>
      </x:c>
    </x:row>
    <x:row r="70" ht="46" customHeight="1">
      <x:c r="A70" s="22" t="n">
        <x:v>57</x:v>
      </x:c>
      <x:c r="B70" s="19" t="str">
        <x:v>Intreccio mentale</x:v>
      </x:c>
      <x:c r="C70" s="19" t="str">
        <x:v>Psico</x:v>
      </x:c>
      <x:c r="D70" s="33" t="str">
        <x:v>Media</x:v>
      </x:c>
      <x:c r="E70" s="19" t="str">
        <x:v>Felyss #11</x:v>
      </x:c>
      <x:c r="F70" s="19" t="str">
        <x:v>OnUserEff.Img JP Zipang NueHit2</x:v>
      </x:c>
      <x:c r="G70" s="19" t="str">
        <x:v>Proposta</x:v>
      </x:c>
      <x:c r="H70" s="24" t="str">
        <x:v>Bersaglio</x:v>
      </x:c>
      <x:c r="I70" s="25" t="n">
        <x:v>1</x:v>
      </x:c>
      <x:c r="J70" s="26" t="n">
        <x:v>57</x:v>
      </x:c>
      <x:c r="K70" s="19" t="str">
        <x:v>Proposta individuale basata su forma, colore e tema visivo; da verificare in anteprima.</x:v>
      </x:c>
      <x:c r="L70" s="19" t="str">
        <x:v>generated:onusereff-img_jp_zipang_nuehit2-images_nested_sheet</x:v>
      </x:c>
    </x:row>
    <x:row r="71" ht="46" customHeight="1">
      <x:c r="A71" s="28" t="n">
        <x:v>58</x:v>
      </x:c>
      <x:c r="B71" s="29" t="str">
        <x:v>Occhio universale</x:v>
      </x:c>
      <x:c r="C71" s="29" t="str">
        <x:v>Psico</x:v>
      </x:c>
      <x:c r="D71" s="36" t="str">
        <x:v>Forte</x:v>
      </x:c>
      <x:c r="E71" s="29" t="str">
        <x:v>Felyss #12</x:v>
      </x:c>
      <x:c r="F71" s="29" t="str">
        <x:v>AnglerCompany.Img LadderPuzzle Shock</x:v>
      </x:c>
      <x:c r="G71" s="37" t="str">
        <x:v>Calibrazione confermata</x:v>
      </x:c>
      <x:c r="H71" s="30" t="str">
        <x:v>Centro</x:v>
      </x:c>
      <x:c r="I71" s="31" t="n">
        <x:v>1.5</x:v>
      </x:c>
      <x:c r="J71" s="32" t="n">
        <x:v>58</x:v>
      </x:c>
      <x:c r="K71" s="29" t="str">
        <x:v>Calibrazione confermata dall’utente; assegnazione individuale secondo il colore del moveset.</x:v>
      </x:c>
      <x:c r="L71" s="29" t="str">
        <x:v>generated:anglercompany-img_ladderpuzzle_shock-images_nested_sheet</x:v>
      </x:c>
    </x:row>
    <x:row r="72" ht="46" customHeight="1">
      <x:c r="A72" s="22" t="n">
        <x:v>59</x:v>
      </x:c>
      <x:c r="B72" s="19" t="str">
        <x:v>Assorbilinfa</x:v>
      </x:c>
      <x:c r="C72" s="19" t="str">
        <x:v>Erba</x:v>
      </x:c>
      <x:c r="D72" s="27" t="str">
        <x:v>Leggera</x:v>
      </x:c>
      <x:c r="E72" s="19" t="str">
        <x:v>Beestrix #95</x:v>
      </x:c>
      <x:c r="F72" s="19" t="str">
        <x:v>Lynn.Img Skill Heal SpecialAffected</x:v>
      </x:c>
      <x:c r="G72" s="19" t="str">
        <x:v>Proposta</x:v>
      </x:c>
      <x:c r="H72" s="24" t="str">
        <x:v>Utilizzatore</x:v>
      </x:c>
      <x:c r="I72" s="25" t="n">
        <x:v>1.25</x:v>
      </x:c>
      <x:c r="J72" s="26" t="n">
        <x:v>59</x:v>
      </x:c>
      <x:c r="K72" s="19" t="str">
        <x:v>Proposta individuale basata su forma, colore e tema visivo; da verificare in anteprima.</x:v>
      </x:c>
      <x:c r="L72" s="19" t="str">
        <x:v>generated:lynn-img_skill_heal_specialaffected-images_nested_sheet</x:v>
      </x:c>
    </x:row>
    <x:row r="73" ht="46" customHeight="1">
      <x:c r="A73" s="28" t="n">
        <x:v>60</x:v>
      </x:c>
      <x:c r="B73" s="29" t="str">
        <x:v>Avanguardia</x:v>
      </x:c>
      <x:c r="C73" s="29" t="str">
        <x:v>Erba</x:v>
      </x:c>
      <x:c r="D73" s="33" t="str">
        <x:v>Media</x:v>
      </x:c>
      <x:c r="E73" s="29" t="str">
        <x:v>Beestrix #96</x:v>
      </x:c>
      <x:c r="F73" s="34" t="str"/>
      <x:c r="G73" s="34" t="str">
        <x:v>Da creare</x:v>
      </x:c>
      <x:c r="H73" s="30" t="str"/>
      <x:c r="I73" s="31"/>
      <x:c r="J73" s="32" t="n">
        <x:v>60</x:v>
      </x:c>
      <x:c r="K73" s="29" t="str">
        <x:v>Da reperire un VFX distinto; l’eventuale effetto generico nel gioco non conta come assegnazione.</x:v>
      </x:c>
      <x:c r="L73" s="29" t="str"/>
    </x:row>
    <x:row r="74" ht="46" customHeight="1">
      <x:c r="A74" s="22" t="n">
        <x:v>61</x:v>
      </x:c>
      <x:c r="B74" s="19" t="str">
        <x:v>Sciame operaio</x:v>
      </x:c>
      <x:c r="C74" s="19" t="str">
        <x:v>Erba</x:v>
      </x:c>
      <x:c r="D74" s="36" t="str">
        <x:v>Forte</x:v>
      </x:c>
      <x:c r="E74" s="19" t="str">
        <x:v>Beestrix #97</x:v>
      </x:c>
      <x:c r="F74" s="34" t="str"/>
      <x:c r="G74" s="34" t="str">
        <x:v>Da creare</x:v>
      </x:c>
      <x:c r="H74" s="24" t="str"/>
      <x:c r="I74" s="25"/>
      <x:c r="J74" s="26" t="n">
        <x:v>61</x:v>
      </x:c>
      <x:c r="K74" s="19" t="str">
        <x:v>Da reperire un VFX distinto; l’eventuale effetto generico nel gioco non conta come assegnazione.</x:v>
      </x:c>
      <x:c r="L74" s="19" t="str"/>
    </x:row>
    <x:row r="75" ht="46" customHeight="1">
      <x:c r="A75" s="28" t="n">
        <x:v>62</x:v>
      </x:c>
      <x:c r="B75" s="29" t="str">
        <x:v>Manto d'ombra</x:v>
      </x:c>
      <x:c r="C75" s="29" t="str">
        <x:v>Oscurità</x:v>
      </x:c>
      <x:c r="D75" s="27" t="str">
        <x:v>Leggera</x:v>
      </x:c>
      <x:c r="E75" s="29" t="str">
        <x:v>Cellgon #79</x:v>
      </x:c>
      <x:c r="F75" s="29" t="str">
        <x:v>DebuffEffect.Img DropBloodingCurse Start</x:v>
      </x:c>
      <x:c r="G75" s="29" t="str">
        <x:v>Proposta</x:v>
      </x:c>
      <x:c r="H75" s="30" t="str">
        <x:v>Bersaglio</x:v>
      </x:c>
      <x:c r="I75" s="31" t="n">
        <x:v>1</x:v>
      </x:c>
      <x:c r="J75" s="32" t="n">
        <x:v>62</x:v>
      </x:c>
      <x:c r="K75" s="29" t="str">
        <x:v>Proposta individuale basata su forma, colore e tema visivo; da verificare in anteprima.</x:v>
      </x:c>
      <x:c r="L75" s="29" t="str">
        <x:v>generated:debuffeffect-img_dropbloodingcurse_start-images_nested_sheet</x:v>
      </x:c>
    </x:row>
    <x:row r="76" ht="46" customHeight="1">
      <x:c r="A76" s="22" t="n">
        <x:v>63</x:v>
      </x:c>
      <x:c r="B76" s="19" t="str">
        <x:v>Buio pesto</x:v>
      </x:c>
      <x:c r="C76" s="19" t="str">
        <x:v>Oscurità</x:v>
      </x:c>
      <x:c r="D76" s="33" t="str">
        <x:v>Media</x:v>
      </x:c>
      <x:c r="E76" s="19" t="str">
        <x:v>Cellgon #80</x:v>
      </x:c>
      <x:c r="F76" s="34" t="str"/>
      <x:c r="G76" s="34" t="str">
        <x:v>Da creare</x:v>
      </x:c>
      <x:c r="H76" s="24" t="str"/>
      <x:c r="I76" s="25"/>
      <x:c r="J76" s="26" t="n">
        <x:v>63</x:v>
      </x:c>
      <x:c r="K76" s="19" t="str">
        <x:v>Da reperire un VFX distinto; l’eventuale effetto generico nel gioco non conta come assegnazione.</x:v>
      </x:c>
      <x:c r="L76" s="19" t="str"/>
    </x:row>
    <x:row r="77" ht="46" customHeight="1">
      <x:c r="A77" s="28" t="n">
        <x:v>64</x:v>
      </x:c>
      <x:c r="B77" s="29" t="str">
        <x:v>Fiamma nera</x:v>
      </x:c>
      <x:c r="C77" s="29" t="str">
        <x:v>Oscurità</x:v>
      </x:c>
      <x:c r="D77" s="36" t="str">
        <x:v>Forte</x:v>
      </x:c>
      <x:c r="E77" s="29" t="str">
        <x:v>Cellgon #81</x:v>
      </x:c>
      <x:c r="F77" s="29" t="str">
        <x:v>PvPEff.Img Die PVPA3 Die</x:v>
      </x:c>
      <x:c r="G77" s="29" t="str">
        <x:v>Proposta</x:v>
      </x:c>
      <x:c r="H77" s="30" t="str">
        <x:v>Bersaglio</x:v>
      </x:c>
      <x:c r="I77" s="31" t="n">
        <x:v>1</x:v>
      </x:c>
      <x:c r="J77" s="32" t="n">
        <x:v>64</x:v>
      </x:c>
      <x:c r="K77" s="29" t="str">
        <x:v>Proposta individuale basata su forma, colore e tema visivo; da verificare in anteprima.</x:v>
      </x:c>
      <x:c r="L77" s="29" t="str">
        <x:v>generated:pvpeff-img_die_pvpa3_die-images_nested_sheet</x:v>
      </x:c>
    </x:row>
    <x:row r="78" ht="46" customHeight="1">
      <x:c r="A78" s="22" t="n">
        <x:v>65</x:v>
      </x:c>
      <x:c r="B78" s="19" t="str">
        <x:v>Foglia caduca</x:v>
      </x:c>
      <x:c r="C78" s="19" t="str">
        <x:v>Erba</x:v>
      </x:c>
      <x:c r="D78" s="27" t="str">
        <x:v>Leggera</x:v>
      </x:c>
      <x:c r="E78" s="19" t="str">
        <x:v>Leafrex #52</x:v>
      </x:c>
      <x:c r="F78" s="19" t="str">
        <x:v>BasicEff.Img SpiritJump</x:v>
      </x:c>
      <x:c r="G78" s="19" t="str">
        <x:v>Proposta</x:v>
      </x:c>
      <x:c r="H78" s="24" t="str">
        <x:v>Bersaglio</x:v>
      </x:c>
      <x:c r="I78" s="25" t="n">
        <x:v>1</x:v>
      </x:c>
      <x:c r="J78" s="26" t="n">
        <x:v>65</x:v>
      </x:c>
      <x:c r="K78" s="19" t="str">
        <x:v>Proposta individuale basata su forma, colore e tema visivo; da verificare in anteprima.</x:v>
      </x:c>
      <x:c r="L78" s="19" t="str">
        <x:v>generated:basiceff-img_spiritjump-images_nested_sheet</x:v>
      </x:c>
    </x:row>
    <x:row r="79" ht="46" customHeight="1">
      <x:c r="A79" s="28" t="n">
        <x:v>66</x:v>
      </x:c>
      <x:c r="B79" s="29" t="str">
        <x:v>Risveglio verde</x:v>
      </x:c>
      <x:c r="C79" s="29" t="str">
        <x:v>Erba</x:v>
      </x:c>
      <x:c r="D79" s="33" t="str">
        <x:v>Media</x:v>
      </x:c>
      <x:c r="E79" s="29" t="str">
        <x:v>Leafrex #53</x:v>
      </x:c>
      <x:c r="F79" s="29" t="str">
        <x:v>Lynn.Img Skill Heal Effect</x:v>
      </x:c>
      <x:c r="G79" s="29" t="str">
        <x:v>Proposta</x:v>
      </x:c>
      <x:c r="H79" s="30" t="str">
        <x:v>Utilizzatore</x:v>
      </x:c>
      <x:c r="I79" s="31" t="n">
        <x:v>1</x:v>
      </x:c>
      <x:c r="J79" s="32" t="n">
        <x:v>66</x:v>
      </x:c>
      <x:c r="K79" s="29" t="str">
        <x:v>Proposta individuale basata su forma, colore e tema visivo; da verificare in anteprima.</x:v>
      </x:c>
      <x:c r="L79" s="29" t="str">
        <x:v>generated:lynn-img_skill_heal_effect-images_nested_sheet</x:v>
      </x:c>
    </x:row>
    <x:row r="80" ht="46" customHeight="1">
      <x:c r="A80" s="22" t="n">
        <x:v>67</x:v>
      </x:c>
      <x:c r="B80" s="19" t="str">
        <x:v>Forza della natura</x:v>
      </x:c>
      <x:c r="C80" s="19" t="str">
        <x:v>Erba</x:v>
      </x:c>
      <x:c r="D80" s="36" t="str">
        <x:v>Forte</x:v>
      </x:c>
      <x:c r="E80" s="19" t="str">
        <x:v>Leafrex #54</x:v>
      </x:c>
      <x:c r="F80" s="19" t="str">
        <x:v>FieldGimmickEff.Img Glory E4Square1</x:v>
      </x:c>
      <x:c r="G80" s="19" t="str">
        <x:v>Proposta</x:v>
      </x:c>
      <x:c r="H80" s="24" t="str">
        <x:v>Centro</x:v>
      </x:c>
      <x:c r="I80" s="25" t="n">
        <x:v>1</x:v>
      </x:c>
      <x:c r="J80" s="26" t="n">
        <x:v>67</x:v>
      </x:c>
      <x:c r="K80" s="19" t="str">
        <x:v>Proposta individuale basata su forma, colore e tema visivo; da verificare in anteprima.</x:v>
      </x:c>
      <x:c r="L80" s="19" t="str">
        <x:v>generated:fieldgimmickeff-img_glory_e4square1-images_nested_sheet</x:v>
      </x:c>
    </x:row>
    <x:row r="81" ht="46" customHeight="1">
      <x:c r="A81" s="28" t="n">
        <x:v>68</x:v>
      </x:c>
      <x:c r="B81" s="29" t="str">
        <x:v>Luna storta</x:v>
      </x:c>
      <x:c r="C81" s="29" t="str">
        <x:v>Oscurità</x:v>
      </x:c>
      <x:c r="D81" s="27" t="str">
        <x:v>Leggera</x:v>
      </x:c>
      <x:c r="E81" s="29" t="str">
        <x:v>Eclyps #30</x:v>
      </x:c>
      <x:c r="F81" s="34" t="str"/>
      <x:c r="G81" s="34" t="str">
        <x:v>Da creare</x:v>
      </x:c>
      <x:c r="H81" s="30" t="str"/>
      <x:c r="I81" s="31"/>
      <x:c r="J81" s="32" t="n">
        <x:v>68</x:v>
      </x:c>
      <x:c r="K81" s="29" t="str">
        <x:v>Da reperire un VFX distinto; l’eventuale effetto generico nel gioco non conta come assegnazione.</x:v>
      </x:c>
      <x:c r="L81" s="29" t="str"/>
    </x:row>
    <x:row r="82" ht="46" customHeight="1">
      <x:c r="A82" s="22" t="n">
        <x:v>69</x:v>
      </x:c>
      <x:c r="B82" s="19" t="str">
        <x:v>Luna rossa</x:v>
      </x:c>
      <x:c r="C82" s="19" t="str">
        <x:v>Oscurità</x:v>
      </x:c>
      <x:c r="D82" s="33" t="str">
        <x:v>Media</x:v>
      </x:c>
      <x:c r="E82" s="19" t="str">
        <x:v>Eclyps #31</x:v>
      </x:c>
      <x:c r="F82" s="19" t="str">
        <x:v>OnUserEff.Img KannaQuest 0</x:v>
      </x:c>
      <x:c r="G82" s="19" t="str">
        <x:v>Proposta</x:v>
      </x:c>
      <x:c r="H82" s="24" t="str">
        <x:v>Bersaglio</x:v>
      </x:c>
      <x:c r="I82" s="25" t="n">
        <x:v>1</x:v>
      </x:c>
      <x:c r="J82" s="26" t="n">
        <x:v>69</x:v>
      </x:c>
      <x:c r="K82" s="19" t="str">
        <x:v>Proposta individuale basata su forma, colore e tema visivo; da verificare in anteprima.</x:v>
      </x:c>
      <x:c r="L82" s="19" t="str">
        <x:v>generated:onusereff-img_kannaquest_0-images_nested_sheet</x:v>
      </x:c>
    </x:row>
    <x:row r="83" ht="46" customHeight="1">
      <x:c r="A83" s="28" t="n">
        <x:v>70</x:v>
      </x:c>
      <x:c r="B83" s="29" t="str">
        <x:v>Puntura anestetica</x:v>
      </x:c>
      <x:c r="C83" s="29" t="str">
        <x:v>Erba</x:v>
      </x:c>
      <x:c r="D83" s="27" t="str">
        <x:v>Leggera</x:v>
      </x:c>
      <x:c r="E83" s="29" t="str">
        <x:v>Zoorian #105</x:v>
      </x:c>
      <x:c r="F83" s="34" t="str"/>
      <x:c r="G83" s="34" t="str">
        <x:v>Da creare</x:v>
      </x:c>
      <x:c r="H83" s="30" t="str"/>
      <x:c r="I83" s="31"/>
      <x:c r="J83" s="32" t="n">
        <x:v>70</x:v>
      </x:c>
      <x:c r="K83" s="29" t="str">
        <x:v>Da reperire un VFX distinto; l’eventuale effetto generico nel gioco non conta come assegnazione.</x:v>
      </x:c>
      <x:c r="L83" s="29" t="str"/>
    </x:row>
    <x:row r="84" ht="46" customHeight="1">
      <x:c r="A84" s="22" t="n">
        <x:v>71</x:v>
      </x:c>
      <x:c r="B84" s="19" t="str">
        <x:v>Sete di sangue</x:v>
      </x:c>
      <x:c r="C84" s="19" t="str">
        <x:v>Erba</x:v>
      </x:c>
      <x:c r="D84" s="33" t="str">
        <x:v>Media</x:v>
      </x:c>
      <x:c r="E84" s="19" t="str">
        <x:v>Zoorian #106</x:v>
      </x:c>
      <x:c r="F84" s="19" t="str">
        <x:v>Direction.Img Effect Skill Vampire 0</x:v>
      </x:c>
      <x:c r="G84" s="19" t="str">
        <x:v>Proposta</x:v>
      </x:c>
      <x:c r="H84" s="24" t="str">
        <x:v>Bersaglio</x:v>
      </x:c>
      <x:c r="I84" s="25" t="n">
        <x:v>1</x:v>
      </x:c>
      <x:c r="J84" s="26" t="n">
        <x:v>71</x:v>
      </x:c>
      <x:c r="K84" s="19" t="str">
        <x:v>Proposta individuale basata su forma, colore e tema visivo; da verificare in anteprima.</x:v>
      </x:c>
      <x:c r="L84" s="19" t="str">
        <x:v>generated:direction-img_effect_skill_vampire_0-images_nested_sheet</x:v>
      </x:c>
    </x:row>
    <x:row r="85" ht="46" customHeight="1">
      <x:c r="A85" s="28" t="n">
        <x:v>72</x:v>
      </x:c>
      <x:c r="B85" s="29" t="str">
        <x:v>Predigestione</x:v>
      </x:c>
      <x:c r="C85" s="29" t="str">
        <x:v>Erba</x:v>
      </x:c>
      <x:c r="D85" s="27" t="str">
        <x:v>Leggera</x:v>
      </x:c>
      <x:c r="E85" s="29" t="str">
        <x:v>Weedrug #47</x:v>
      </x:c>
      <x:c r="F85" s="34" t="str"/>
      <x:c r="G85" s="34" t="str">
        <x:v>Da creare</x:v>
      </x:c>
      <x:c r="H85" s="30" t="str"/>
      <x:c r="I85" s="31"/>
      <x:c r="J85" s="32" t="n">
        <x:v>72</x:v>
      </x:c>
      <x:c r="K85" s="29" t="str">
        <x:v>Da reperire un VFX distinto; l’eventuale effetto generico nel gioco non conta come assegnazione.</x:v>
      </x:c>
      <x:c r="L85" s="29" t="str"/>
    </x:row>
    <x:row r="86" ht="46" customHeight="1">
      <x:c r="A86" s="22" t="n">
        <x:v>73</x:v>
      </x:c>
      <x:c r="B86" s="19" t="str">
        <x:v>Divoramento</x:v>
      </x:c>
      <x:c r="C86" s="19" t="str">
        <x:v>Erba</x:v>
      </x:c>
      <x:c r="D86" s="33" t="str">
        <x:v>Media</x:v>
      </x:c>
      <x:c r="E86" s="19" t="str">
        <x:v>Weedrug #48</x:v>
      </x:c>
      <x:c r="F86" s="34" t="str"/>
      <x:c r="G86" s="34" t="str">
        <x:v>Da creare</x:v>
      </x:c>
      <x:c r="H86" s="24" t="str"/>
      <x:c r="I86" s="25"/>
      <x:c r="J86" s="26" t="n">
        <x:v>73</x:v>
      </x:c>
      <x:c r="K86" s="19" t="str">
        <x:v>Da reperire un VFX distinto; l’eventuale effetto generico nel gioco non conta come assegnazione.</x:v>
      </x:c>
      <x:c r="L86" s="19" t="str"/>
    </x:row>
    <x:row r="87" ht="46" customHeight="1">
      <x:c r="A87" s="28" t="n">
        <x:v>74</x:v>
      </x:c>
      <x:c r="B87" s="29" t="str">
        <x:v>Cerino</x:v>
      </x:c>
      <x:c r="C87" s="29" t="str">
        <x:v>Fuoco</x:v>
      </x:c>
      <x:c r="D87" s="27" t="str">
        <x:v>Leggera</x:v>
      </x:c>
      <x:c r="E87" s="29" t="str">
        <x:v>Blazion #32</x:v>
      </x:c>
      <x:c r="F87" s="29" t="str">
        <x:v>HighMountain.Img Effect Mitra Aura F 2</x:v>
      </x:c>
      <x:c r="G87" s="29" t="str">
        <x:v>Proposta</x:v>
      </x:c>
      <x:c r="H87" s="30" t="str">
        <x:v>Bersaglio</x:v>
      </x:c>
      <x:c r="I87" s="31" t="n">
        <x:v>1.25</x:v>
      </x:c>
      <x:c r="J87" s="32" t="n">
        <x:v>74</x:v>
      </x:c>
      <x:c r="K87" s="29" t="str">
        <x:v>Proposta individuale basata su forma, colore e tema visivo; da verificare in anteprima.</x:v>
      </x:c>
      <x:c r="L87" s="29" t="str">
        <x:v>generated:highmountain-img_effect_mitra_aura_f_2-images_nested_sheet</x:v>
      </x:c>
    </x:row>
    <x:row r="88" ht="46" customHeight="1">
      <x:c r="A88" s="22" t="n">
        <x:v>75</x:v>
      </x:c>
      <x:c r="B88" s="19" t="str">
        <x:v>Cimitero di fiamme</x:v>
      </x:c>
      <x:c r="C88" s="19" t="str">
        <x:v>Fuoco</x:v>
      </x:c>
      <x:c r="D88" s="36" t="str">
        <x:v>Forte</x:v>
      </x:c>
      <x:c r="E88" s="19" t="str">
        <x:v>Blazion #33</x:v>
      </x:c>
      <x:c r="F88" s="19" t="str">
        <x:v>EliteMobEff.Img 0 Effect Regen</x:v>
      </x:c>
      <x:c r="G88" s="19" t="str">
        <x:v>Proposta</x:v>
      </x:c>
      <x:c r="H88" s="24" t="str">
        <x:v>Bersaglio</x:v>
      </x:c>
      <x:c r="I88" s="25" t="n">
        <x:v>1</x:v>
      </x:c>
      <x:c r="J88" s="26" t="n">
        <x:v>75</x:v>
      </x:c>
      <x:c r="K88" s="19" t="str">
        <x:v>Proposta individuale basata su forma, colore e tema visivo; da verificare in anteprima.</x:v>
      </x:c>
      <x:c r="L88" s="19" t="str">
        <x:v>generated:elitemobeff-img_0_effect_regen-images_nested_sheet</x:v>
      </x:c>
    </x:row>
    <x:row r="89" ht="46" customHeight="1">
      <x:c r="A89" s="28" t="n">
        <x:v>76</x:v>
      </x:c>
      <x:c r="B89" s="29" t="str">
        <x:v>Scossa d'assestamento</x:v>
      </x:c>
      <x:c r="C89" s="29" t="str">
        <x:v>Terra</x:v>
      </x:c>
      <x:c r="D89" s="27" t="str">
        <x:v>Leggera</x:v>
      </x:c>
      <x:c r="E89" s="29" t="str">
        <x:v>Boomrock #103</x:v>
      </x:c>
      <x:c r="F89" s="34" t="str"/>
      <x:c r="G89" s="34" t="str">
        <x:v>Da creare</x:v>
      </x:c>
      <x:c r="H89" s="30" t="str"/>
      <x:c r="I89" s="31"/>
      <x:c r="J89" s="32" t="n">
        <x:v>76</x:v>
      </x:c>
      <x:c r="K89" s="29" t="str">
        <x:v>Da reperire un VFX distinto; l’eventuale effetto generico nel gioco non conta come assegnazione.</x:v>
      </x:c>
      <x:c r="L89" s="29" t="str"/>
    </x:row>
    <x:row r="90" ht="46" customHeight="1">
      <x:c r="A90" s="22" t="n">
        <x:v>77</x:v>
      </x:c>
      <x:c r="B90" s="19" t="str">
        <x:v>Canyon</x:v>
      </x:c>
      <x:c r="C90" s="19" t="str">
        <x:v>Terra</x:v>
      </x:c>
      <x:c r="D90" s="33" t="str">
        <x:v>Media</x:v>
      </x:c>
      <x:c r="E90" s="19" t="str">
        <x:v>Boomrock #104</x:v>
      </x:c>
      <x:c r="F90" s="34" t="str"/>
      <x:c r="G90" s="34" t="str">
        <x:v>Da creare</x:v>
      </x:c>
      <x:c r="H90" s="24" t="str"/>
      <x:c r="I90" s="25"/>
      <x:c r="J90" s="26" t="n">
        <x:v>77</x:v>
      </x:c>
      <x:c r="K90" s="19" t="str">
        <x:v>Da reperire un VFX distinto; l’eventuale effetto generico nel gioco non conta come assegnazione.</x:v>
      </x:c>
      <x:c r="L90" s="19" t="str"/>
    </x:row>
    <x:row r="91" ht="46" customHeight="1">
      <x:c r="A91" s="28" t="n">
        <x:v>78</x:v>
      </x:c>
      <x:c r="B91" s="29" t="str">
        <x:v>Rivolta</x:v>
      </x:c>
      <x:c r="C91" s="29" t="str">
        <x:v>Oscurità</x:v>
      </x:c>
      <x:c r="D91" s="36" t="str">
        <x:v>Forte</x:v>
      </x:c>
      <x:c r="E91" s="29" t="str">
        <x:v>Felvex #44</x:v>
      </x:c>
      <x:c r="F91" s="34" t="str"/>
      <x:c r="G91" s="34" t="str">
        <x:v>Da creare</x:v>
      </x:c>
      <x:c r="H91" s="30" t="str"/>
      <x:c r="I91" s="31"/>
      <x:c r="J91" s="32" t="n">
        <x:v>78</x:v>
      </x:c>
      <x:c r="K91" s="29" t="str">
        <x:v>Da reperire un VFX distinto; l’eventuale effetto generico nel gioco non conta come assegnazione.</x:v>
      </x:c>
      <x:c r="L91" s="29" t="str"/>
    </x:row>
    <x:row r="92" ht="46" customHeight="1">
      <x:c r="A92" s="22" t="n">
        <x:v>79</x:v>
      </x:c>
      <x:c r="B92" s="19" t="str">
        <x:v>Guerriglia</x:v>
      </x:c>
      <x:c r="C92" s="19" t="str">
        <x:v>Normale</x:v>
      </x:c>
      <x:c r="D92" s="27" t="str">
        <x:v>Leggera</x:v>
      </x:c>
      <x:c r="E92" s="19" t="str">
        <x:v>Hopz #64</x:v>
      </x:c>
      <x:c r="F92" s="34" t="str"/>
      <x:c r="G92" s="34" t="str">
        <x:v>Da creare</x:v>
      </x:c>
      <x:c r="H92" s="24" t="str"/>
      <x:c r="I92" s="25"/>
      <x:c r="J92" s="26" t="n">
        <x:v>79</x:v>
      </x:c>
      <x:c r="K92" s="19" t="str">
        <x:v>Da reperire un VFX distinto; l’eventuale effetto generico nel gioco non conta come assegnazione.</x:v>
      </x:c>
      <x:c r="L92" s="19" t="str"/>
    </x:row>
    <x:row r="93" ht="46" customHeight="1">
      <x:c r="A93" s="28" t="n">
        <x:v>80</x:v>
      </x:c>
      <x:c r="B93" s="29" t="str">
        <x:v>Fangospruzzo</x:v>
      </x:c>
      <x:c r="C93" s="29" t="str">
        <x:v>Terra</x:v>
      </x:c>
      <x:c r="D93" s="27" t="str">
        <x:v>Leggera</x:v>
      </x:c>
      <x:c r="E93" s="29" t="str">
        <x:v>Handipus #20</x:v>
      </x:c>
      <x:c r="F93" s="34" t="str"/>
      <x:c r="G93" s="34" t="str">
        <x:v>Da creare</x:v>
      </x:c>
      <x:c r="H93" s="30" t="str"/>
      <x:c r="I93" s="31"/>
      <x:c r="J93" s="32" t="n">
        <x:v>80</x:v>
      </x:c>
      <x:c r="K93" s="29" t="str">
        <x:v>Da reperire un VFX distinto; l’eventuale effetto generico nel gioco non conta come assegnazione.</x:v>
      </x:c>
      <x:c r="L93" s="29" t="str"/>
    </x:row>
    <x:row r="94" ht="46" customHeight="1">
      <x:c r="A94" s="22" t="n">
        <x:v>81</x:v>
      </x:c>
      <x:c r="B94" s="19" t="str">
        <x:v>Fornace</x:v>
      </x:c>
      <x:c r="C94" s="19" t="str">
        <x:v>Fuoco</x:v>
      </x:c>
      <x:c r="D94" s="33" t="str">
        <x:v>Media</x:v>
      </x:c>
      <x:c r="E94" s="19" t="str">
        <x:v>Ignitor #77</x:v>
      </x:c>
      <x:c r="F94" s="19" t="str">
        <x:v>BasicEff.Img CannonJump</x:v>
      </x:c>
      <x:c r="G94" s="19" t="str">
        <x:v>Proposta</x:v>
      </x:c>
      <x:c r="H94" s="24" t="str">
        <x:v>Bersaglio</x:v>
      </x:c>
      <x:c r="I94" s="25" t="n">
        <x:v>1.25</x:v>
      </x:c>
      <x:c r="J94" s="26" t="n">
        <x:v>81</x:v>
      </x:c>
      <x:c r="K94" s="19" t="str">
        <x:v>Proposta individuale basata su forma, colore e tema visivo; da verificare in anteprima.</x:v>
      </x:c>
      <x:c r="L94" s="19" t="str">
        <x:v>generated:basiceff-img_cannonjump-images_nested_sheet</x:v>
      </x:c>
    </x:row>
    <x:row r="95" ht="46" customHeight="1">
      <x:c r="A95" s="28" t="n">
        <x:v>82</x:v>
      </x:c>
      <x:c r="B95" s="29" t="str">
        <x:v>Sotterrare</x:v>
      </x:c>
      <x:c r="C95" s="29" t="str">
        <x:v>Terra</x:v>
      </x:c>
      <x:c r="D95" s="27" t="str">
        <x:v>Leggera</x:v>
      </x:c>
      <x:c r="E95" s="29" t="str">
        <x:v>Wormaren #13</x:v>
      </x:c>
      <x:c r="F95" s="34" t="str"/>
      <x:c r="G95" s="34" t="str">
        <x:v>Da creare</x:v>
      </x:c>
      <x:c r="H95" s="30" t="str"/>
      <x:c r="I95" s="31"/>
      <x:c r="J95" s="32" t="n">
        <x:v>82</x:v>
      </x:c>
      <x:c r="K95" s="29" t="str">
        <x:v>Da reperire un VFX distinto; l’eventuale effetto generico nel gioco non conta come assegnazione.</x:v>
      </x:c>
      <x:c r="L95" s="29" t="str"/>
    </x:row>
    <x:row r="96" ht="46" customHeight="1">
      <x:c r="A96" s="22" t="n">
        <x:v>83</x:v>
      </x:c>
      <x:c r="B96" s="19" t="str">
        <x:v>Sepoltura</x:v>
      </x:c>
      <x:c r="C96" s="19" t="str">
        <x:v>Terra</x:v>
      </x:c>
      <x:c r="D96" s="33" t="str">
        <x:v>Media</x:v>
      </x:c>
      <x:c r="E96" s="19" t="str">
        <x:v>Wormaren #14</x:v>
      </x:c>
      <x:c r="F96" s="34" t="str"/>
      <x:c r="G96" s="34" t="str">
        <x:v>Da creare</x:v>
      </x:c>
      <x:c r="H96" s="24" t="str"/>
      <x:c r="I96" s="25"/>
      <x:c r="J96" s="26" t="n">
        <x:v>83</x:v>
      </x:c>
      <x:c r="K96" s="19" t="str">
        <x:v>Da reperire un VFX distinto; l’eventuale effetto generico nel gioco non conta come assegnazione.</x:v>
      </x:c>
      <x:c r="L96" s="19" t="str"/>
    </x:row>
    <x:row r="97" ht="46" customHeight="1">
      <x:c r="A97" s="28" t="n">
        <x:v>84</x:v>
      </x:c>
      <x:c r="B97" s="29" t="str">
        <x:v>Emersione</x:v>
      </x:c>
      <x:c r="C97" s="29" t="str">
        <x:v>Terra</x:v>
      </x:c>
      <x:c r="D97" s="36" t="str">
        <x:v>Forte</x:v>
      </x:c>
      <x:c r="E97" s="29" t="str">
        <x:v>Wormaren #15</x:v>
      </x:c>
      <x:c r="F97" s="34" t="str"/>
      <x:c r="G97" s="34" t="str">
        <x:v>Da creare</x:v>
      </x:c>
      <x:c r="H97" s="30" t="str"/>
      <x:c r="I97" s="31"/>
      <x:c r="J97" s="32" t="n">
        <x:v>84</x:v>
      </x:c>
      <x:c r="K97" s="29" t="str">
        <x:v>Da reperire un VFX distinto; l’eventuale effetto generico nel gioco non conta come assegnazione.</x:v>
      </x:c>
      <x:c r="L97" s="29" t="str"/>
    </x:row>
    <x:row r="98" ht="46" customHeight="1">
      <x:c r="A98" s="22" t="n">
        <x:v>85</x:v>
      </x:c>
      <x:c r="B98" s="19" t="str">
        <x:v>Area 51</x:v>
      </x:c>
      <x:c r="C98" s="19" t="str">
        <x:v>Normale</x:v>
      </x:c>
      <x:c r="D98" s="27" t="str">
        <x:v>Leggera</x:v>
      </x:c>
      <x:c r="E98" s="19" t="str">
        <x:v>RS-219 #39</x:v>
      </x:c>
      <x:c r="F98" s="34" t="str"/>
      <x:c r="G98" s="34" t="str">
        <x:v>Da creare</x:v>
      </x:c>
      <x:c r="H98" s="24" t="str"/>
      <x:c r="I98" s="25"/>
      <x:c r="J98" s="26" t="n">
        <x:v>85</x:v>
      </x:c>
      <x:c r="K98" s="19" t="str">
        <x:v>Da reperire un VFX distinto; l’eventuale effetto generico nel gioco non conta come assegnazione.</x:v>
      </x:c>
      <x:c r="L98" s="19" t="str"/>
    </x:row>
    <x:row r="99" ht="46" customHeight="1">
      <x:c r="A99" s="28" t="n">
        <x:v>86</x:v>
      </x:c>
      <x:c r="B99" s="29" t="str">
        <x:v>Viaggio temporale</x:v>
      </x:c>
      <x:c r="C99" s="29" t="str">
        <x:v>Normale</x:v>
      </x:c>
      <x:c r="D99" s="33" t="str">
        <x:v>Media</x:v>
      </x:c>
      <x:c r="E99" s="29" t="str">
        <x:v>RS-219 #40</x:v>
      </x:c>
      <x:c r="F99" s="29" t="str">
        <x:v>BasicEff.Img SengokuAssembleTeleport</x:v>
      </x:c>
      <x:c r="G99" s="29" t="str">
        <x:v>Proposta</x:v>
      </x:c>
      <x:c r="H99" s="30" t="str">
        <x:v>Bersaglio</x:v>
      </x:c>
      <x:c r="I99" s="31" t="n">
        <x:v>1</x:v>
      </x:c>
      <x:c r="J99" s="32" t="n">
        <x:v>86</x:v>
      </x:c>
      <x:c r="K99" s="29" t="str">
        <x:v>Proposta individuale basata su forma, colore e tema visivo; da verificare in anteprima.</x:v>
      </x:c>
      <x:c r="L99" s="29" t="str">
        <x:v>generated:basiceff-img_sengokuassembleteleport-images_nested_sheet</x:v>
      </x:c>
    </x:row>
    <x:row r="100" ht="46" customHeight="1">
      <x:c r="A100" s="22" t="n">
        <x:v>87</x:v>
      </x:c>
      <x:c r="B100" s="19" t="str">
        <x:v>Ritorno al futuro</x:v>
      </x:c>
      <x:c r="C100" s="19" t="str">
        <x:v>Normale</x:v>
      </x:c>
      <x:c r="D100" s="36" t="str">
        <x:v>Forte</x:v>
      </x:c>
      <x:c r="E100" s="19" t="str">
        <x:v>RS-219 #41</x:v>
      </x:c>
      <x:c r="F100" s="34" t="str"/>
      <x:c r="G100" s="34" t="str">
        <x:v>Da creare</x:v>
      </x:c>
      <x:c r="H100" s="24" t="str"/>
      <x:c r="I100" s="25"/>
      <x:c r="J100" s="26" t="n">
        <x:v>87</x:v>
      </x:c>
      <x:c r="K100" s="19" t="str">
        <x:v>Da reperire un VFX distinto; l’eventuale effetto generico nel gioco non conta come assegnazione.</x:v>
      </x:c>
      <x:c r="L100" s="19" t="str"/>
    </x:row>
    <x:row r="101" ht="46" customHeight="1">
      <x:c r="A101" s="28" t="n">
        <x:v>88</x:v>
      </x:c>
      <x:c r="B101" s="29" t="str">
        <x:v>Occhiolino</x:v>
      </x:c>
      <x:c r="C101" s="29" t="str">
        <x:v>Psico</x:v>
      </x:c>
      <x:c r="D101" s="27" t="str">
        <x:v>Leggera</x:v>
      </x:c>
      <x:c r="E101" s="29" t="str">
        <x:v>Espeiry #89</x:v>
      </x:c>
      <x:c r="F101" s="34" t="str"/>
      <x:c r="G101" s="34" t="str">
        <x:v>Da creare</x:v>
      </x:c>
      <x:c r="H101" s="30" t="str"/>
      <x:c r="I101" s="31"/>
      <x:c r="J101" s="32" t="n">
        <x:v>88</x:v>
      </x:c>
      <x:c r="K101" s="29" t="str">
        <x:v>Da reperire un VFX distinto; l’eventuale effetto generico nel gioco non conta come assegnazione.</x:v>
      </x:c>
      <x:c r="L101" s="29" t="str"/>
    </x:row>
    <x:row r="102" ht="46" customHeight="1">
      <x:c r="A102" s="22" t="n">
        <x:v>89</x:v>
      </x:c>
      <x:c r="B102" s="19" t="str">
        <x:v>Pressione spirituale</x:v>
      </x:c>
      <x:c r="C102" s="19" t="str">
        <x:v>Psico</x:v>
      </x:c>
      <x:c r="D102" s="33" t="str">
        <x:v>Media</x:v>
      </x:c>
      <x:c r="E102" s="19" t="str">
        <x:v>Espeiry #90</x:v>
      </x:c>
      <x:c r="F102" s="19" t="str">
        <x:v>AnglerCompany.Img FinalBoss Selfharm</x:v>
      </x:c>
      <x:c r="G102" s="19" t="str">
        <x:v>Proposta</x:v>
      </x:c>
      <x:c r="H102" s="24" t="str">
        <x:v>Bersaglio</x:v>
      </x:c>
      <x:c r="I102" s="25" t="n">
        <x:v>1</x:v>
      </x:c>
      <x:c r="J102" s="26" t="n">
        <x:v>89</x:v>
      </x:c>
      <x:c r="K102" s="19" t="str">
        <x:v>Proposta individuale basata su forma, colore e tema visivo; da verificare in anteprima.</x:v>
      </x:c>
      <x:c r="L102" s="19" t="str">
        <x:v>generated:anglercompany-img_finalboss_selfharm-images_flat_sheet</x:v>
      </x:c>
    </x:row>
    <x:row r="103" ht="46" customHeight="1">
      <x:c r="A103" s="28" t="n">
        <x:v>90</x:v>
      </x:c>
      <x:c r="B103" s="29" t="str">
        <x:v>Assorbianima</x:v>
      </x:c>
      <x:c r="C103" s="29" t="str">
        <x:v>Psico</x:v>
      </x:c>
      <x:c r="D103" s="36" t="str">
        <x:v>Forte</x:v>
      </x:c>
      <x:c r="E103" s="29" t="str">
        <x:v>Espeiry #91</x:v>
      </x:c>
      <x:c r="F103" s="29" t="str">
        <x:v>DebuffEffect.Img DropBloodingCurse End</x:v>
      </x:c>
      <x:c r="G103" s="29" t="str">
        <x:v>Proposta</x:v>
      </x:c>
      <x:c r="H103" s="30" t="str">
        <x:v>Bersaglio</x:v>
      </x:c>
      <x:c r="I103" s="31" t="n">
        <x:v>1</x:v>
      </x:c>
      <x:c r="J103" s="32" t="n">
        <x:v>90</x:v>
      </x:c>
      <x:c r="K103" s="29" t="str">
        <x:v>Proposta individuale basata su forma, colore e tema visivo; da verificare in anteprima.</x:v>
      </x:c>
      <x:c r="L103" s="29" t="str">
        <x:v>generated:debuffeffect-img_dropbloodingcurse_end-images_nested_sheet</x:v>
      </x:c>
    </x:row>
    <x:row r="104" ht="46" customHeight="1">
      <x:c r="A104" s="22" t="n">
        <x:v>91</x:v>
      </x:c>
      <x:c r="B104" s="19" t="str">
        <x:v>Immersione</x:v>
      </x:c>
      <x:c r="C104" s="19" t="str">
        <x:v>Acqua</x:v>
      </x:c>
      <x:c r="D104" s="27" t="str">
        <x:v>Leggera</x:v>
      </x:c>
      <x:c r="E104" s="19" t="str">
        <x:v>Shabyss #58</x:v>
      </x:c>
      <x:c r="F104" s="34" t="str"/>
      <x:c r="G104" s="34" t="str">
        <x:v>Da creare</x:v>
      </x:c>
      <x:c r="H104" s="24" t="str"/>
      <x:c r="I104" s="25"/>
      <x:c r="J104" s="26" t="n">
        <x:v>91</x:v>
      </x:c>
      <x:c r="K104" s="19" t="str">
        <x:v>Da reperire un VFX distinto; l’eventuale effetto generico nel gioco non conta come assegnazione.</x:v>
      </x:c>
      <x:c r="L104" s="19" t="str"/>
    </x:row>
    <x:row r="105" ht="46" customHeight="1">
      <x:c r="A105" s="28" t="n">
        <x:v>92</x:v>
      </x:c>
      <x:c r="B105" s="29" t="str">
        <x:v>Affondare</x:v>
      </x:c>
      <x:c r="C105" s="29" t="str">
        <x:v>Acqua</x:v>
      </x:c>
      <x:c r="D105" s="33" t="str">
        <x:v>Media</x:v>
      </x:c>
      <x:c r="E105" s="29" t="str">
        <x:v>Shabyss #59</x:v>
      </x:c>
      <x:c r="F105" s="34" t="str"/>
      <x:c r="G105" s="34" t="str">
        <x:v>Da creare</x:v>
      </x:c>
      <x:c r="H105" s="30" t="str"/>
      <x:c r="I105" s="31"/>
      <x:c r="J105" s="32" t="n">
        <x:v>92</x:v>
      </x:c>
      <x:c r="K105" s="29" t="str">
        <x:v>Da reperire un VFX distinto; l’eventuale effetto generico nel gioco non conta come assegnazione.</x:v>
      </x:c>
      <x:c r="L105" s="29" t="str"/>
    </x:row>
    <x:row r="106" ht="46" customHeight="1">
      <x:c r="A106" s="22" t="n">
        <x:v>93</x:v>
      </x:c>
      <x:c r="B106" s="19" t="str">
        <x:v>Morte dagli abissi</x:v>
      </x:c>
      <x:c r="C106" s="19" t="str">
        <x:v>Acqua</x:v>
      </x:c>
      <x:c r="D106" s="36" t="str">
        <x:v>Forte</x:v>
      </x:c>
      <x:c r="E106" s="19" t="str">
        <x:v>Shabyss #60</x:v>
      </x:c>
      <x:c r="F106" s="19" t="str">
        <x:v>Ascend Effect</x:v>
      </x:c>
      <x:c r="G106" s="38" t="str">
        <x:v>Da adattare</x:v>
      </x:c>
      <x:c r="H106" s="24" t="str">
        <x:v>Bersaglio</x:v>
      </x:c>
      <x:c r="I106" s="25" t="n">
        <x:v>1</x:v>
      </x:c>
      <x:c r="J106" s="26" t="n">
        <x:v>93</x:v>
      </x:c>
      <x:c r="K106" s="19" t="str">
        <x:v>Contiene una creatura riconoscibile: rimuovere o adattare la sagoma alla mossa.</x:v>
      </x:c>
      <x:c r="L106" s="19" t="str">
        <x:v>gif:ascend-effect</x:v>
      </x:c>
    </x:row>
    <x:row r="107" ht="46" customHeight="1">
      <x:c r="A107" s="28" t="n">
        <x:v>94</x:v>
      </x:c>
      <x:c r="B107" s="29" t="str">
        <x:v>Getto del peso</x:v>
      </x:c>
      <x:c r="C107" s="29" t="str">
        <x:v>Terra</x:v>
      </x:c>
      <x:c r="D107" s="27" t="str">
        <x:v>Leggera</x:v>
      </x:c>
      <x:c r="E107" s="29" t="str">
        <x:v>Crawgoyle #34</x:v>
      </x:c>
      <x:c r="F107" s="34" t="str"/>
      <x:c r="G107" s="34" t="str">
        <x:v>Da creare</x:v>
      </x:c>
      <x:c r="H107" s="30" t="str"/>
      <x:c r="I107" s="31"/>
      <x:c r="J107" s="32" t="n">
        <x:v>94</x:v>
      </x:c>
      <x:c r="K107" s="29" t="str">
        <x:v>Da reperire un VFX distinto; l’eventuale effetto generico nel gioco non conta come assegnazione.</x:v>
      </x:c>
      <x:c r="L107" s="29" t="str"/>
    </x:row>
    <x:row r="108" ht="46" customHeight="1">
      <x:c r="A108" s="22" t="n">
        <x:v>95</x:v>
      </x:c>
      <x:c r="B108" s="19" t="str">
        <x:v>Bombardamento</x:v>
      </x:c>
      <x:c r="C108" s="19" t="str">
        <x:v>Terra</x:v>
      </x:c>
      <x:c r="D108" s="33" t="str">
        <x:v>Media</x:v>
      </x:c>
      <x:c r="E108" s="19" t="str">
        <x:v>Crawgoyle #35</x:v>
      </x:c>
      <x:c r="F108" s="34" t="str"/>
      <x:c r="G108" s="34" t="str">
        <x:v>Da creare</x:v>
      </x:c>
      <x:c r="H108" s="24" t="str"/>
      <x:c r="I108" s="25"/>
      <x:c r="J108" s="26" t="n">
        <x:v>95</x:v>
      </x:c>
      <x:c r="K108" s="19" t="str">
        <x:v>Da reperire un VFX distinto; l’eventuale effetto generico nel gioco non conta come assegnazione.</x:v>
      </x:c>
      <x:c r="L108" s="19" t="str"/>
    </x:row>
    <x:row r="109" ht="46" customHeight="1">
      <x:c r="A109" s="28" t="n">
        <x:v>96</x:v>
      </x:c>
      <x:c r="B109" s="29" t="str">
        <x:v>Gufata</x:v>
      </x:c>
      <x:c r="C109" s="29" t="str">
        <x:v>Normale</x:v>
      </x:c>
      <x:c r="D109" s="27" t="str">
        <x:v>Leggera</x:v>
      </x:c>
      <x:c r="E109" s="29" t="str">
        <x:v>Ervys #99</x:v>
      </x:c>
      <x:c r="F109" s="34" t="str"/>
      <x:c r="G109" s="34" t="str">
        <x:v>Da creare</x:v>
      </x:c>
      <x:c r="H109" s="30" t="str"/>
      <x:c r="I109" s="31"/>
      <x:c r="J109" s="32" t="n">
        <x:v>96</x:v>
      </x:c>
      <x:c r="K109" s="29" t="str">
        <x:v>Da reperire un VFX distinto; l’eventuale effetto generico nel gioco non conta come assegnazione.</x:v>
      </x:c>
      <x:c r="L109" s="29" t="str"/>
    </x:row>
    <x:row r="110" ht="46" customHeight="1">
      <x:c r="A110" s="22" t="n">
        <x:v>97</x:v>
      </x:c>
      <x:c r="B110" s="19" t="str">
        <x:v>Picchiata fatale</x:v>
      </x:c>
      <x:c r="C110" s="19" t="str">
        <x:v>Normale</x:v>
      </x:c>
      <x:c r="D110" s="33" t="str">
        <x:v>Media</x:v>
      </x:c>
      <x:c r="E110" s="19" t="str">
        <x:v>Ervys #100</x:v>
      </x:c>
      <x:c r="F110" s="34" t="str"/>
      <x:c r="G110" s="34" t="str">
        <x:v>Da creare</x:v>
      </x:c>
      <x:c r="H110" s="24" t="str"/>
      <x:c r="I110" s="25"/>
      <x:c r="J110" s="26" t="n">
        <x:v>97</x:v>
      </x:c>
      <x:c r="K110" s="19" t="str">
        <x:v>Da reperire un VFX distinto; l’eventuale effetto generico nel gioco non conta come assegnazione.</x:v>
      </x:c>
      <x:c r="L110" s="19" t="str"/>
    </x:row>
    <x:row r="111" ht="46" customHeight="1">
      <x:c r="A111" s="28" t="n">
        <x:v>98</x:v>
      </x:c>
      <x:c r="B111" s="29" t="str">
        <x:v>Fiammella</x:v>
      </x:c>
      <x:c r="C111" s="29" t="str">
        <x:v>Fuoco</x:v>
      </x:c>
      <x:c r="D111" s="27" t="str">
        <x:v>Leggera</x:v>
      </x:c>
      <x:c r="E111" s="29" t="str">
        <x:v>Constrix #49</x:v>
      </x:c>
      <x:c r="F111" s="29" t="str">
        <x:v>Fire Flames Sticker By Brannmanndan</x:v>
      </x:c>
      <x:c r="G111" s="29" t="str">
        <x:v>Proposta</x:v>
      </x:c>
      <x:c r="H111" s="30" t="str">
        <x:v>Bersaglio</x:v>
      </x:c>
      <x:c r="I111" s="31" t="n">
        <x:v>1</x:v>
      </x:c>
      <x:c r="J111" s="32" t="n">
        <x:v>98</x:v>
      </x:c>
      <x:c r="K111" s="29" t="str">
        <x:v>Proposta individuale basata su forma, colore e tema visivo; da verificare in anteprima.</x:v>
      </x:c>
      <x:c r="L111" s="29" t="str">
        <x:v>gif:fire-flames-sticker-by-brannmanndan</x:v>
      </x:c>
    </x:row>
    <x:row r="112" ht="46" customHeight="1">
      <x:c r="A112" s="22" t="n">
        <x:v>99</x:v>
      </x:c>
      <x:c r="B112" s="19" t="str">
        <x:v>Spirale ardente</x:v>
      </x:c>
      <x:c r="C112" s="19" t="str">
        <x:v>Fuoco</x:v>
      </x:c>
      <x:c r="D112" s="33" t="str">
        <x:v>Media</x:v>
      </x:c>
      <x:c r="E112" s="19" t="str">
        <x:v>Constrix #50</x:v>
      </x:c>
      <x:c r="F112" s="34" t="str"/>
      <x:c r="G112" s="34" t="str">
        <x:v>Da creare</x:v>
      </x:c>
      <x:c r="H112" s="24" t="str"/>
      <x:c r="I112" s="25"/>
      <x:c r="J112" s="26" t="n">
        <x:v>99</x:v>
      </x:c>
      <x:c r="K112" s="19" t="str">
        <x:v>Da reperire un VFX distinto; l’eventuale effetto generico nel gioco non conta come assegnazione.</x:v>
      </x:c>
      <x:c r="L112" s="19" t="str"/>
    </x:row>
    <x:row r="113" ht="46" customHeight="1">
      <x:c r="A113" s="28" t="n">
        <x:v>100</x:v>
      </x:c>
      <x:c r="B113" s="29" t="str">
        <x:v>Testata bassa</x:v>
      </x:c>
      <x:c r="C113" s="29" t="str">
        <x:v>Normale</x:v>
      </x:c>
      <x:c r="D113" s="27" t="str">
        <x:v>Leggera</x:v>
      </x:c>
      <x:c r="E113" s="29" t="str">
        <x:v>Fluffet #62</x:v>
      </x:c>
      <x:c r="F113" s="29" t="str">
        <x:v>BasicEff.Img CaptainJump</x:v>
      </x:c>
      <x:c r="G113" s="29" t="str">
        <x:v>Proposta</x:v>
      </x:c>
      <x:c r="H113" s="30" t="str">
        <x:v>Bersaglio</x:v>
      </x:c>
      <x:c r="I113" s="31" t="n">
        <x:v>1</x:v>
      </x:c>
      <x:c r="J113" s="32" t="n">
        <x:v>100</x:v>
      </x:c>
      <x:c r="K113" s="29" t="str">
        <x:v>Proposta individuale basata su forma, colore e tema visivo; da verificare in anteprima.</x:v>
      </x:c>
      <x:c r="L113" s="29" t="str">
        <x:v>generated:basiceff-img_captainjump-images_nested_sheet</x:v>
      </x:c>
    </x:row>
    <x:row r="114" ht="46" customHeight="1">
      <x:c r="A114" s="22" t="n">
        <x:v>101</x:v>
      </x:c>
      <x:c r="B114" s="19" t="str">
        <x:v>Lana magica</x:v>
      </x:c>
      <x:c r="C114" s="19" t="str">
        <x:v>Normale</x:v>
      </x:c>
      <x:c r="D114" s="33" t="str">
        <x:v>Media</x:v>
      </x:c>
      <x:c r="E114" s="19" t="str">
        <x:v>Fluffet #63</x:v>
      </x:c>
      <x:c r="F114" s="34" t="str"/>
      <x:c r="G114" s="34" t="str">
        <x:v>Da creare</x:v>
      </x:c>
      <x:c r="H114" s="24" t="str"/>
      <x:c r="I114" s="25"/>
      <x:c r="J114" s="26" t="n">
        <x:v>101</x:v>
      </x:c>
      <x:c r="K114" s="19" t="str">
        <x:v>Da reperire un VFX distinto; l’eventuale effetto generico nel gioco non conta come assegnazione.</x:v>
      </x:c>
      <x:c r="L114" s="19" t="str"/>
    </x:row>
    <x:row r="115" ht="46" customHeight="1">
      <x:c r="A115" s="28" t="n">
        <x:v>102</x:v>
      </x:c>
      <x:c r="B115" s="29" t="str">
        <x:v>Funerale del deserto</x:v>
      </x:c>
      <x:c r="C115" s="29" t="str">
        <x:v>Terra</x:v>
      </x:c>
      <x:c r="D115" s="33" t="str">
        <x:v>Media</x:v>
      </x:c>
      <x:c r="E115" s="29" t="str">
        <x:v>Colussand #19</x:v>
      </x:c>
      <x:c r="F115" s="34" t="str"/>
      <x:c r="G115" s="34" t="str">
        <x:v>Da creare</x:v>
      </x:c>
      <x:c r="H115" s="30" t="str"/>
      <x:c r="I115" s="31"/>
      <x:c r="J115" s="32" t="n">
        <x:v>102</x:v>
      </x:c>
      <x:c r="K115" s="29" t="str">
        <x:v>Da reperire un VFX distinto; l’eventuale effetto generico nel gioco non conta come assegnazione.</x:v>
      </x:c>
      <x:c r="L115" s="29" t="str"/>
    </x:row>
    <x:row r="116" ht="46" customHeight="1">
      <x:c r="A116" s="22" t="n">
        <x:v>103</x:v>
      </x:c>
      <x:c r="B116" s="19" t="str">
        <x:v>Sbuffo lavico</x:v>
      </x:c>
      <x:c r="C116" s="19" t="str">
        <x:v>Fuoco</x:v>
      </x:c>
      <x:c r="D116" s="36" t="str">
        <x:v>Forte</x:v>
      </x:c>
      <x:c r="E116" s="19" t="str">
        <x:v>Goliash #51</x:v>
      </x:c>
      <x:c r="F116" s="34" t="str"/>
      <x:c r="G116" s="34" t="str">
        <x:v>Da creare</x:v>
      </x:c>
      <x:c r="H116" s="24" t="str"/>
      <x:c r="I116" s="25"/>
      <x:c r="J116" s="26" t="n">
        <x:v>103</x:v>
      </x:c>
      <x:c r="K116" s="19" t="str">
        <x:v>Da reperire un VFX distinto; l’eventuale effetto generico nel gioco non conta come assegnazione.</x:v>
      </x:c>
      <x:c r="L116" s="19" t="str"/>
    </x:row>
    <x:row r="117" ht="46" customHeight="1">
      <x:c r="A117" s="28" t="n">
        <x:v>104</x:v>
      </x:c>
      <x:c r="B117" s="29" t="str">
        <x:v>Sradicamento</x:v>
      </x:c>
      <x:c r="C117" s="29" t="str">
        <x:v>Erba</x:v>
      </x:c>
      <x:c r="D117" s="33" t="str">
        <x:v>Media</x:v>
      </x:c>
      <x:c r="E117" s="29" t="str">
        <x:v>Trippix #78</x:v>
      </x:c>
      <x:c r="F117" s="34" t="str"/>
      <x:c r="G117" s="34" t="str">
        <x:v>Da creare</x:v>
      </x:c>
      <x:c r="H117" s="30" t="str"/>
      <x:c r="I117" s="31"/>
      <x:c r="J117" s="32" t="n">
        <x:v>104</x:v>
      </x:c>
      <x:c r="K117" s="29" t="str">
        <x:v>Da reperire un VFX distinto; l’eventuale effetto generico nel gioco non conta come assegnazione.</x:v>
      </x:c>
      <x:c r="L117" s="29" t="str"/>
    </x:row>
    <x:row r="118" ht="46" customHeight="1">
      <x:c r="A118" s="22" t="n">
        <x:v>105</x:v>
      </x:c>
      <x:c r="B118" s="19" t="str">
        <x:v>Jumpscare</x:v>
      </x:c>
      <x:c r="C118" s="19" t="str">
        <x:v>Oscurità</x:v>
      </x:c>
      <x:c r="D118" s="36" t="str">
        <x:v>Forte</x:v>
      </x:c>
      <x:c r="E118" s="19" t="str">
        <x:v>Peek-a-buu #55</x:v>
      </x:c>
      <x:c r="F118" s="19" t="str">
        <x:v>HighMountain.Img TynusAttack SlaughterFail</x:v>
      </x:c>
      <x:c r="G118" s="19" t="str">
        <x:v>Proposta</x:v>
      </x:c>
      <x:c r="H118" s="24" t="str">
        <x:v>Bersaglio</x:v>
      </x:c>
      <x:c r="I118" s="25" t="n">
        <x:v>1</x:v>
      </x:c>
      <x:c r="J118" s="26" t="n">
        <x:v>105</x:v>
      </x:c>
      <x:c r="K118" s="19" t="str">
        <x:v>Proposta individuale basata su forma, colore e tema visivo; da verificare in anteprima.</x:v>
      </x:c>
      <x:c r="L118" s="19" t="str">
        <x:v>generated:highmountain-img_tynusattack_slaughterfail-images_nested_sheet</x:v>
      </x:c>
    </x:row>
    <x:row r="119" ht="46" customHeight="1">
      <x:c r="A119" s="28" t="n">
        <x:v>106</x:v>
      </x:c>
      <x:c r="B119" s="29" t="str">
        <x:v>Legnata</x:v>
      </x:c>
      <x:c r="C119" s="29" t="str">
        <x:v>Erba</x:v>
      </x:c>
      <x:c r="D119" s="33" t="str">
        <x:v>Media</x:v>
      </x:c>
      <x:c r="E119" s="29" t="str">
        <x:v>Grooty #98</x:v>
      </x:c>
      <x:c r="F119" s="29" t="str">
        <x:v>BasicEff.Img PirateJump</x:v>
      </x:c>
      <x:c r="G119" s="29" t="str">
        <x:v>Proposta</x:v>
      </x:c>
      <x:c r="H119" s="30" t="str">
        <x:v>Bersaglio</x:v>
      </x:c>
      <x:c r="I119" s="31" t="n">
        <x:v>1</x:v>
      </x:c>
      <x:c r="J119" s="32" t="n">
        <x:v>106</x:v>
      </x:c>
      <x:c r="K119" s="29" t="str">
        <x:v>Proposta individuale basata su forma, colore e tema visivo; da verificare in anteprima.</x:v>
      </x:c>
      <x:c r="L119" s="29" t="str">
        <x:v>generated:basiceff-img_piratejump-images_nested_sheet</x:v>
      </x:c>
    </x:row>
    <x:row r="120" ht="46" customHeight="1">
      <x:c r="A120" s="22" t="n">
        <x:v>107</x:v>
      </x:c>
      <x:c r="B120" s="19" t="str">
        <x:v>Sguardo glaciale</x:v>
      </x:c>
      <x:c r="C120" s="19" t="str">
        <x:v>Psico</x:v>
      </x:c>
      <x:c r="D120" s="36" t="str">
        <x:v>Forte</x:v>
      </x:c>
      <x:c r="E120" s="19" t="str">
        <x:v>Oniros #109</x:v>
      </x:c>
      <x:c r="F120" s="34" t="str"/>
      <x:c r="G120" s="34" t="str">
        <x:v>Da creare</x:v>
      </x:c>
      <x:c r="H120" s="24" t="str"/>
      <x:c r="I120" s="25"/>
      <x:c r="J120" s="26" t="n">
        <x:v>109</x:v>
      </x:c>
      <x:c r="K120" s="19" t="str">
        <x:v>Da reperire un VFX distinto; l’eventuale effetto generico nel gioco non conta come assegnazione.</x:v>
      </x:c>
      <x:c r="L120" s="19" t="str"/>
    </x:row>
    <x:row r="121" ht="46" customHeight="1">
      <x:c r="A121" s="28" t="n">
        <x:v>108</x:v>
      </x:c>
      <x:c r="B121" s="29" t="str">
        <x:v>Ordine sovrano</x:v>
      </x:c>
      <x:c r="C121" s="29" t="str">
        <x:v>Oscurità</x:v>
      </x:c>
      <x:c r="D121" s="36" t="str">
        <x:v>Forte</x:v>
      </x:c>
      <x:c r="E121" s="29" t="str">
        <x:v>Voider #110</x:v>
      </x:c>
      <x:c r="F121" s="29" t="str">
        <x:v>BasicEff.Img JobChangedKain</x:v>
      </x:c>
      <x:c r="G121" s="29" t="str">
        <x:v>Proposta</x:v>
      </x:c>
      <x:c r="H121" s="30" t="str">
        <x:v>Bersaglio</x:v>
      </x:c>
      <x:c r="I121" s="31" t="n">
        <x:v>1</x:v>
      </x:c>
      <x:c r="J121" s="32" t="n">
        <x:v>110</x:v>
      </x:c>
      <x:c r="K121" s="29" t="str">
        <x:v>Proposta individuale basata su forma, colore e tema visivo; da verificare in anteprima.</x:v>
      </x:c>
      <x:c r="L121" s="29" t="str">
        <x:v>generated:basiceff-img_jobchangedkain-images_nested_sheet</x:v>
      </x:c>
    </x:row>
    <x:row r="122" ht="46" customHeight="1">
      <x:c r="A122" s="22" t="n">
        <x:v>109</x:v>
      </x:c>
      <x:c r="B122" s="19" t="str">
        <x:v>Vortice divino</x:v>
      </x:c>
      <x:c r="C122" s="19" t="str">
        <x:v>Acqua</x:v>
      </x:c>
      <x:c r="D122" s="36" t="str">
        <x:v>Forte</x:v>
      </x:c>
      <x:c r="E122" s="19" t="str">
        <x:v>Ao-shin #107</x:v>
      </x:c>
      <x:c r="F122" s="19" t="str">
        <x:v>Vortex Effect</x:v>
      </x:c>
      <x:c r="G122" s="19" t="str">
        <x:v>Proposta</x:v>
      </x:c>
      <x:c r="H122" s="24" t="str">
        <x:v>Bersaglio</x:v>
      </x:c>
      <x:c r="I122" s="25" t="n">
        <x:v>1</x:v>
      </x:c>
      <x:c r="J122" s="26" t="n">
        <x:v>107</x:v>
      </x:c>
      <x:c r="K122" s="19" t="str">
        <x:v>Proposta individuale basata su forma, colore e tema visivo; da verificare in anteprima.</x:v>
      </x:c>
      <x:c r="L122" s="19" t="str">
        <x:v>gif:vortex-effect</x:v>
      </x:c>
    </x:row>
    <x:row r="123" ht="46" customHeight="1">
      <x:c r="A123" s="28" t="n">
        <x:v>110</x:v>
      </x:c>
      <x:c r="B123" s="29" t="str">
        <x:v>Fiamma celestiale</x:v>
      </x:c>
      <x:c r="C123" s="29" t="str">
        <x:v>Fuoco</x:v>
      </x:c>
      <x:c r="D123" s="36" t="str">
        <x:v>Forte</x:v>
      </x:c>
      <x:c r="E123" s="29" t="str">
        <x:v>Aka-shin #108</x:v>
      </x:c>
      <x:c r="F123" s="29" t="str">
        <x:v>BasicEff.Img Mitra Transform E</x:v>
      </x:c>
      <x:c r="G123" s="29" t="str">
        <x:v>Proposta</x:v>
      </x:c>
      <x:c r="H123" s="30" t="str">
        <x:v>Bersaglio</x:v>
      </x:c>
      <x:c r="I123" s="31" t="n">
        <x:v>1</x:v>
      </x:c>
      <x:c r="J123" s="32" t="n">
        <x:v>108</x:v>
      </x:c>
      <x:c r="K123" s="29" t="str">
        <x:v>Proposta individuale basata su forma, colore e tema visivo; da verificare in anteprima.</x:v>
      </x:c>
      <x:c r="L123" s="29" t="str">
        <x:v>generated:basiceff-img_mitra_transform_e-images_nested_sheet</x:v>
      </x:c>
    </x:row>
    <x:row r="124" ht="46" customHeight="1">
      <x:c r="A124" s="22" t="n">
        <x:v>111</x:v>
      </x:c>
      <x:c r="B124" s="19" t="str">
        <x:v>Brezza Profumata</x:v>
      </x:c>
      <x:c r="C124" s="19" t="str">
        <x:v>Erba</x:v>
      </x:c>
      <x:c r="D124" s="27" t="str">
        <x:v>Leggera</x:v>
      </x:c>
      <x:c r="E124" s="19" t="str">
        <x:v>Vyrath #1</x:v>
      </x:c>
      <x:c r="F124" s="34" t="str"/>
      <x:c r="G124" s="34" t="str">
        <x:v>Da creare</x:v>
      </x:c>
      <x:c r="H124" s="24" t="str"/>
      <x:c r="I124" s="25"/>
      <x:c r="J124" s="26" t="n">
        <x:v>111</x:v>
      </x:c>
      <x:c r="K124" s="19" t="str">
        <x:v>Da reperire un VFX distinto; l’eventuale effetto generico nel gioco non conta come assegnazione.</x:v>
      </x:c>
      <x:c r="L124" s="19" t="str"/>
    </x:row>
    <x:row r="125" ht="46" customHeight="1">
      <x:c r="A125" s="28" t="n">
        <x:v>112</x:v>
      </x:c>
      <x:c r="B125" s="29" t="str">
        <x:v>Vento Silvano</x:v>
      </x:c>
      <x:c r="C125" s="29" t="str">
        <x:v>Erba</x:v>
      </x:c>
      <x:c r="D125" s="33" t="str">
        <x:v>Media</x:v>
      </x:c>
      <x:c r="E125" s="29" t="str">
        <x:v>Vyrath #2</x:v>
      </x:c>
      <x:c r="F125" s="29" t="str">
        <x:v>BasicEff.Img GustShift</x:v>
      </x:c>
      <x:c r="G125" s="29" t="str">
        <x:v>Proposta</x:v>
      </x:c>
      <x:c r="H125" s="30" t="str">
        <x:v>Bersaglio</x:v>
      </x:c>
      <x:c r="I125" s="31" t="n">
        <x:v>1</x:v>
      </x:c>
      <x:c r="J125" s="32" t="n">
        <x:v>112</x:v>
      </x:c>
      <x:c r="K125" s="29" t="str">
        <x:v>Proposta individuale basata su forma, colore e tema visivo; da verificare in anteprima.</x:v>
      </x:c>
      <x:c r="L125" s="29" t="str">
        <x:v>generated:basiceff-img_gustshift-images_nested_sheet</x:v>
      </x:c>
    </x:row>
    <x:row r="126" ht="46" customHeight="1">
      <x:c r="A126" s="22" t="n">
        <x:v>113</x:v>
      </x:c>
      <x:c r="B126" s="19" t="str">
        <x:v>Maestrale Boschivo</x:v>
      </x:c>
      <x:c r="C126" s="19" t="str">
        <x:v>Erba</x:v>
      </x:c>
      <x:c r="D126" s="33" t="str">
        <x:v>Media</x:v>
      </x:c>
      <x:c r="E126" s="19" t="str">
        <x:v>Vyrath #3</x:v>
      </x:c>
      <x:c r="F126" s="19" t="str">
        <x:v>Ea2cac5105a57c00c4385321a5d36392</x:v>
      </x:c>
      <x:c r="G126" s="19" t="str">
        <x:v>Proposta</x:v>
      </x:c>
      <x:c r="H126" s="24" t="str">
        <x:v>Bersaglio</x:v>
      </x:c>
      <x:c r="I126" s="25" t="n">
        <x:v>1</x:v>
      </x:c>
      <x:c r="J126" s="26" t="n">
        <x:v>113</x:v>
      </x:c>
      <x:c r="K126" s="19" t="str">
        <x:v>Proposta individuale basata su forma, colore e tema visivo; da verificare in anteprima.</x:v>
      </x:c>
      <x:c r="L126" s="19" t="str">
        <x:v>gif:ea2cac5105a57c00c4385321a5d36392</x:v>
      </x:c>
    </x:row>
    <x:row r="127" ht="46" customHeight="1">
      <x:c r="A127" s="28" t="n">
        <x:v>114</x:v>
      </x:c>
      <x:c r="B127" s="29" t="str">
        <x:v>Tempesta di Fiori</x:v>
      </x:c>
      <x:c r="C127" s="29" t="str">
        <x:v>Erba</x:v>
      </x:c>
      <x:c r="D127" s="36" t="str">
        <x:v>Forte</x:v>
      </x:c>
      <x:c r="E127" s="29" t="str">
        <x:v>Vyrath #4</x:v>
      </x:c>
      <x:c r="F127" s="29" t="str">
        <x:v>Original B289dc8f58de9dc37b042e9896d81b41</x:v>
      </x:c>
      <x:c r="G127" s="29" t="str">
        <x:v>Proposta</x:v>
      </x:c>
      <x:c r="H127" s="30" t="str">
        <x:v>Centro</x:v>
      </x:c>
      <x:c r="I127" s="31" t="n">
        <x:v>1</x:v>
      </x:c>
      <x:c r="J127" s="32" t="n">
        <x:v>114</x:v>
      </x:c>
      <x:c r="K127" s="29" t="str">
        <x:v>Proposta individuale basata su forma, colore e tema visivo; da verificare in anteprima.</x:v>
      </x:c>
      <x:c r="L127" s="29" t="str">
        <x:v>gif:original-b289dc8f58de9dc37b042e9896d81b41</x:v>
      </x:c>
    </x:row>
    <x:row r="128" ht="46" customHeight="1">
      <x:c r="A128" s="22" t="n">
        <x:v>115</x:v>
      </x:c>
      <x:c r="B128" s="19" t="str">
        <x:v>Ciuffo Verde</x:v>
      </x:c>
      <x:c r="C128" s="19" t="str">
        <x:v>Erba</x:v>
      </x:c>
      <x:c r="D128" s="27" t="str">
        <x:v>Leggera</x:v>
      </x:c>
      <x:c r="E128" s="19" t="str">
        <x:v>Teslat #86</x:v>
      </x:c>
      <x:c r="F128" s="19" t="str">
        <x:v>BasicEff.Img AMJump</x:v>
      </x:c>
      <x:c r="G128" s="19" t="str">
        <x:v>Proposta</x:v>
      </x:c>
      <x:c r="H128" s="24" t="str">
        <x:v>Bersaglio</x:v>
      </x:c>
      <x:c r="I128" s="25" t="n">
        <x:v>1</x:v>
      </x:c>
      <x:c r="J128" s="26" t="n">
        <x:v>115</x:v>
      </x:c>
      <x:c r="K128" s="19" t="str">
        <x:v>Proposta individuale basata su forma, colore e tema visivo; da verificare in anteprima.</x:v>
      </x:c>
      <x:c r="L128" s="19" t="str">
        <x:v>generated:basiceff-img_amjump-images_nested_sheet</x:v>
      </x:c>
    </x:row>
    <x:row r="129" ht="46" customHeight="1">
      <x:c r="A129" s="28" t="n">
        <x:v>116</x:v>
      </x:c>
      <x:c r="B129" s="29" t="str">
        <x:v>Mazzetto Erboso</x:v>
      </x:c>
      <x:c r="C129" s="29" t="str">
        <x:v>Erba</x:v>
      </x:c>
      <x:c r="D129" s="33" t="str">
        <x:v>Media</x:v>
      </x:c>
      <x:c r="E129" s="29" t="str">
        <x:v>Teslat #87</x:v>
      </x:c>
      <x:c r="F129" s="29" t="str">
        <x:v>PvPEff.Img Die PVPA11 Die</x:v>
      </x:c>
      <x:c r="G129" s="29" t="str">
        <x:v>Proposta</x:v>
      </x:c>
      <x:c r="H129" s="30" t="str">
        <x:v>Bersaglio</x:v>
      </x:c>
      <x:c r="I129" s="31" t="n">
        <x:v>1</x:v>
      </x:c>
      <x:c r="J129" s="32" t="n">
        <x:v>116</x:v>
      </x:c>
      <x:c r="K129" s="29" t="str">
        <x:v>Proposta individuale basata su forma, colore e tema visivo; da verificare in anteprima.</x:v>
      </x:c>
      <x:c r="L129" s="29" t="str">
        <x:v>generated:pvpeff-img_die_pvpa11_die-images_nested_sheet</x:v>
      </x:c>
    </x:row>
    <x:row r="130" ht="46" customHeight="1">
      <x:c r="A130" s="22" t="n">
        <x:v>117</x:v>
      </x:c>
      <x:c r="B130" s="19" t="str">
        <x:v>Cespuglio Rigoglioso</x:v>
      </x:c>
      <x:c r="C130" s="19" t="str">
        <x:v>Erba</x:v>
      </x:c>
      <x:c r="D130" s="36" t="str">
        <x:v>Forte</x:v>
      </x:c>
      <x:c r="E130" s="19" t="str">
        <x:v>Teslat #88</x:v>
      </x:c>
      <x:c r="F130" s="19" t="str">
        <x:v>BasicEff.Img JobChangedShaman</x:v>
      </x:c>
      <x:c r="G130" s="19" t="str">
        <x:v>Proposta</x:v>
      </x:c>
      <x:c r="H130" s="24" t="str">
        <x:v>Bersaglio</x:v>
      </x:c>
      <x:c r="I130" s="25" t="n">
        <x:v>1</x:v>
      </x:c>
      <x:c r="J130" s="26" t="n">
        <x:v>117</x:v>
      </x:c>
      <x:c r="K130" s="19" t="str">
        <x:v>Proposta individuale basata su forma, colore e tema visivo; da verificare in anteprima.</x:v>
      </x:c>
      <x:c r="L130" s="19" t="str">
        <x:v>generated:basiceff-img_jobchangedshaman-images_nested_sheet</x:v>
      </x:c>
    </x:row>
    <x:row r="131" ht="46" customHeight="1">
      <x:c r="A131" s="28" t="n">
        <x:v>118</x:v>
      </x:c>
      <x:c r="B131" s="29" t="str">
        <x:v>Penna Arcobaleno</x:v>
      </x:c>
      <x:c r="C131" s="29" t="str">
        <x:v>Psico</x:v>
      </x:c>
      <x:c r="D131" s="27" t="str">
        <x:v>Leggera</x:v>
      </x:c>
      <x:c r="E131" s="29" t="str">
        <x:v>Blizzaquil #71</x:v>
      </x:c>
      <x:c r="F131" s="29" t="str">
        <x:v>AnglerCompany.Img FinalBoss MiniTail Hit</x:v>
      </x:c>
      <x:c r="G131" s="37" t="str">
        <x:v>Calibrazione confermata</x:v>
      </x:c>
      <x:c r="H131" s="30" t="str">
        <x:v>Bersaglio</x:v>
      </x:c>
      <x:c r="I131" s="31" t="n">
        <x:v>1.25</x:v>
      </x:c>
      <x:c r="J131" s="32" t="n">
        <x:v>118</x:v>
      </x:c>
      <x:c r="K131" s="29" t="str">
        <x:v>Calibrazione confermata dall’utente; assegnazione individuale secondo il colore del moveset.</x:v>
      </x:c>
      <x:c r="L131" s="29" t="str">
        <x:v>generated:anglercompany-img_finalboss_minitail_hit-images_flat_sheet</x:v>
      </x:c>
    </x:row>
    <x:row r="132" ht="46" customHeight="1">
      <x:c r="A132" s="22" t="n">
        <x:v>119</x:v>
      </x:c>
      <x:c r="B132" s="19" t="str">
        <x:v>Ali Elusive</x:v>
      </x:c>
      <x:c r="C132" s="19" t="str">
        <x:v>Psico</x:v>
      </x:c>
      <x:c r="D132" s="33" t="str">
        <x:v>Media</x:v>
      </x:c>
      <x:c r="E132" s="19" t="str">
        <x:v>Blizzaquil #72</x:v>
      </x:c>
      <x:c r="F132" s="19" t="str">
        <x:v>HekatonEff 1001.Img Explosion</x:v>
      </x:c>
      <x:c r="G132" s="37" t="str">
        <x:v>Calibrazione confermata</x:v>
      </x:c>
      <x:c r="H132" s="24" t="str">
        <x:v>Bersaglio</x:v>
      </x:c>
      <x:c r="I132" s="25" t="n">
        <x:v>1.25</x:v>
      </x:c>
      <x:c r="J132" s="26" t="n">
        <x:v>119</x:v>
      </x:c>
      <x:c r="K132" s="19" t="str">
        <x:v>Calibrazione confermata dall’utente; assegnazione individuale secondo il colore del moveset.</x:v>
      </x:c>
      <x:c r="L132" s="19" t="str">
        <x:v>generated:hekatoneff_1001-img_explosion-images_nested_sheet</x:v>
      </x:c>
    </x:row>
    <x:row r="133" ht="46" customHeight="1">
      <x:c r="A133" s="28" t="n">
        <x:v>120</x:v>
      </x:c>
      <x:c r="B133" s="29" t="str">
        <x:v>Piumaggio Illusorio</x:v>
      </x:c>
      <x:c r="C133" s="29" t="str">
        <x:v>Psico</x:v>
      </x:c>
      <x:c r="D133" s="36" t="str">
        <x:v>Forte</x:v>
      </x:c>
      <x:c r="E133" s="29" t="str">
        <x:v>Blizzaquil #73</x:v>
      </x:c>
      <x:c r="F133" s="29" t="str">
        <x:v>HekatonEff 1011.Img Hit</x:v>
      </x:c>
      <x:c r="G133" s="38" t="str">
        <x:v>Da adattare</x:v>
      </x:c>
      <x:c r="H133" s="30" t="str">
        <x:v>Bersaglio</x:v>
      </x:c>
      <x:c r="I133" s="31" t="n">
        <x:v>1</x:v>
      </x:c>
      <x:c r="J133" s="32" t="n">
        <x:v>120</x:v>
      </x:c>
      <x:c r="K133" s="29" t="str">
        <x:v>Contiene una sagoma riconoscibile nel portale: rimuoverla per ottenere un effetto psichico generico.</x:v>
      </x:c>
      <x:c r="L133" s="29" t="str">
        <x:v>generated:hekatoneff_1011-img_hit-images_nested_sheet</x:v>
      </x:c>
    </x:row>
    <x:row r="134" ht="46" customHeight="1">
      <x:c r="A134" s="22" t="n">
        <x:v>121</x:v>
      </x:c>
      <x:c r="B134" s="19" t="str">
        <x:v>Bollobrace</x:v>
      </x:c>
      <x:c r="C134" s="19" t="str">
        <x:v>Fuoco</x:v>
      </x:c>
      <x:c r="D134" s="27" t="str">
        <x:v>Leggera</x:v>
      </x:c>
      <x:c r="E134" s="19" t="str">
        <x:v>Clastoom #16</x:v>
      </x:c>
      <x:c r="F134" s="34" t="str"/>
      <x:c r="G134" s="34" t="str">
        <x:v>Da creare</x:v>
      </x:c>
      <x:c r="H134" s="24" t="str"/>
      <x:c r="I134" s="25"/>
      <x:c r="J134" s="26" t="n">
        <x:v>121</x:v>
      </x:c>
      <x:c r="K134" s="19" t="str">
        <x:v>Da reperire un VFX distinto; l’eventuale effetto generico nel gioco non conta come assegnazione.</x:v>
      </x:c>
      <x:c r="L134" s="19" t="str"/>
    </x:row>
    <x:row r="135" ht="46" customHeight="1">
      <x:c r="A135" s="28" t="n">
        <x:v>122</x:v>
      </x:c>
      <x:c r="B135" s="29" t="str">
        <x:v>Fauci incandescenti</x:v>
      </x:c>
      <x:c r="C135" s="29" t="str">
        <x:v>Fuoco</x:v>
      </x:c>
      <x:c r="D135" s="33" t="str">
        <x:v>Media</x:v>
      </x:c>
      <x:c r="E135" s="29" t="str">
        <x:v>Clastoom #17</x:v>
      </x:c>
      <x:c r="F135" s="34" t="str"/>
      <x:c r="G135" s="34" t="str">
        <x:v>Da creare</x:v>
      </x:c>
      <x:c r="H135" s="30" t="str"/>
      <x:c r="I135" s="31"/>
      <x:c r="J135" s="32" t="n">
        <x:v>122</x:v>
      </x:c>
      <x:c r="K135" s="29" t="str">
        <x:v>Da reperire un VFX distinto; l’eventuale effetto generico nel gioco non conta come assegnazione.</x:v>
      </x:c>
      <x:c r="L135" s="29" t="str"/>
    </x:row>
    <x:row r="136" ht="46" customHeight="1">
      <x:c r="A136" s="22" t="n">
        <x:v>123</x:v>
      </x:c>
      <x:c r="B136" s="19" t="str">
        <x:v>Detonazione lavica</x:v>
      </x:c>
      <x:c r="C136" s="19" t="str">
        <x:v>Fuoco</x:v>
      </x:c>
      <x:c r="D136" s="36" t="str">
        <x:v>Forte</x:v>
      </x:c>
      <x:c r="E136" s="19" t="str">
        <x:v>Clastoom #18</x:v>
      </x:c>
      <x:c r="F136" s="19" t="str">
        <x:v>MobEff.Img DieExplosion 1</x:v>
      </x:c>
      <x:c r="G136" s="19" t="str">
        <x:v>Proposta</x:v>
      </x:c>
      <x:c r="H136" s="24" t="str">
        <x:v>Bersaglio</x:v>
      </x:c>
      <x:c r="I136" s="25" t="n">
        <x:v>1</x:v>
      </x:c>
      <x:c r="J136" s="26" t="n">
        <x:v>123</x:v>
      </x:c>
      <x:c r="K136" s="19" t="str">
        <x:v>Proposta individuale basata su forma, colore e tema visivo; da verificare in anteprima.</x:v>
      </x:c>
      <x:c r="L136" s="19" t="str">
        <x:v>generated:mobeff-img_dieexplosion_1-images_nested_sheet</x:v>
      </x:c>
    </x:row>
    <x:row r="137" ht="46" customHeight="1">
      <x:c r="A137" s="28" t="n">
        <x:v>124</x:v>
      </x:c>
      <x:c r="B137" s="29" t="str">
        <x:v>Cerchio Ondoso</x:v>
      </x:c>
      <x:c r="C137" s="29" t="str">
        <x:v>Acqua</x:v>
      </x:c>
      <x:c r="D137" s="27" t="str">
        <x:v>Leggera</x:v>
      </x:c>
      <x:c r="E137" s="29" t="str">
        <x:v>Ampereel #26</x:v>
      </x:c>
      <x:c r="F137" s="34" t="str"/>
      <x:c r="G137" s="34" t="str">
        <x:v>Da creare</x:v>
      </x:c>
      <x:c r="H137" s="30" t="str"/>
      <x:c r="I137" s="31"/>
      <x:c r="J137" s="32" t="n">
        <x:v>124</x:v>
      </x:c>
      <x:c r="K137" s="29" t="str">
        <x:v>Da reperire un VFX distinto; l’eventuale effetto generico nel gioco non conta come assegnazione.</x:v>
      </x:c>
      <x:c r="L137" s="29" t="str"/>
    </x:row>
    <x:row r="138" ht="46" customHeight="1">
      <x:c r="A138" s="22" t="n">
        <x:v>125</x:v>
      </x:c>
      <x:c r="B138" s="19" t="str">
        <x:v>Spirale Acquatica</x:v>
      </x:c>
      <x:c r="C138" s="19" t="str">
        <x:v>Acqua</x:v>
      </x:c>
      <x:c r="D138" s="33" t="str">
        <x:v>Media</x:v>
      </x:c>
      <x:c r="E138" s="19" t="str">
        <x:v>Ampereel #27</x:v>
      </x:c>
      <x:c r="F138" s="19" t="str">
        <x:v>59ad165cefdf8a14f3b4e35ad7e8e8a8</x:v>
      </x:c>
      <x:c r="G138" s="19" t="str">
        <x:v>Proposta</x:v>
      </x:c>
      <x:c r="H138" s="24" t="str">
        <x:v>Bersaglio</x:v>
      </x:c>
      <x:c r="I138" s="25" t="n">
        <x:v>1.25</x:v>
      </x:c>
      <x:c r="J138" s="26" t="n">
        <x:v>125</x:v>
      </x:c>
      <x:c r="K138" s="19" t="str">
        <x:v>Proposta individuale basata su forma, colore e tema visivo; da verificare in anteprima.</x:v>
      </x:c>
      <x:c r="L138" s="19" t="str">
        <x:v>gif:59ad165cefdf8a14f3b4e35ad7e8e8a8</x:v>
      </x:c>
    </x:row>
    <x:row r="139" ht="46" customHeight="1">
      <x:c r="A139" s="28" t="n">
        <x:v>126</x:v>
      </x:c>
      <x:c r="B139" s="29" t="str">
        <x:v>Polverone</x:v>
      </x:c>
      <x:c r="C139" s="29" t="str">
        <x:v>Terra</x:v>
      </x:c>
      <x:c r="D139" s="27" t="str">
        <x:v>Leggera</x:v>
      </x:c>
      <x:c r="E139" s="29" t="str">
        <x:v>Felvex #42</x:v>
      </x:c>
      <x:c r="F139" s="29" t="str">
        <x:v>Dd83674f2aad58ba545c6007897e1e8b</x:v>
      </x:c>
      <x:c r="G139" s="29" t="str">
        <x:v>Proposta</x:v>
      </x:c>
      <x:c r="H139" s="30" t="str">
        <x:v>Centro</x:v>
      </x:c>
      <x:c r="I139" s="31" t="n">
        <x:v>1</x:v>
      </x:c>
      <x:c r="J139" s="32" t="n">
        <x:v>126</x:v>
      </x:c>
      <x:c r="K139" s="29" t="str">
        <x:v>Proposta individuale basata su forma, colore e tema visivo; da verificare in anteprima.</x:v>
      </x:c>
      <x:c r="L139" s="29" t="str">
        <x:v>gif:dd83674f2aad58ba545c6007897e1e8b</x:v>
      </x:c>
    </x:row>
    <x:row r="140" ht="46" customHeight="1">
      <x:c r="A140" s="22" t="n">
        <x:v>127</x:v>
      </x:c>
      <x:c r="B140" s="19" t="str">
        <x:v>Marcia del deserto</x:v>
      </x:c>
      <x:c r="C140" s="19" t="str">
        <x:v>Terra</x:v>
      </x:c>
      <x:c r="D140" s="33" t="str">
        <x:v>Media</x:v>
      </x:c>
      <x:c r="E140" s="19" t="str">
        <x:v>Felvex #43</x:v>
      </x:c>
      <x:c r="F140" s="19" t="str">
        <x:v>Tornado Effect</x:v>
      </x:c>
      <x:c r="G140" s="19" t="str">
        <x:v>Proposta</x:v>
      </x:c>
      <x:c r="H140" s="24" t="str">
        <x:v>Bersaglio</x:v>
      </x:c>
      <x:c r="I140" s="25" t="n">
        <x:v>1</x:v>
      </x:c>
      <x:c r="J140" s="26" t="n">
        <x:v>127</x:v>
      </x:c>
      <x:c r="K140" s="19" t="str">
        <x:v>Proposta individuale basata su forma, colore e tema visivo; da verificare in anteprima.</x:v>
      </x:c>
      <x:c r="L140" s="19" t="str">
        <x:v>gif:tornado-effect</x:v>
      </x:c>
    </x:row>
    <x:row r="141" ht="46" customHeight="1">
      <x:c r="A141" s="28" t="n">
        <x:v>128</x:v>
      </x:c>
      <x:c r="B141" s="29" t="str">
        <x:v>Ringhio Ribelle</x:v>
      </x:c>
      <x:c r="C141" s="29" t="str">
        <x:v>Normale</x:v>
      </x:c>
      <x:c r="D141" s="27" t="str">
        <x:v>Leggera</x:v>
      </x:c>
      <x:c r="E141" s="29" t="str">
        <x:v>Grimbolt #24</x:v>
      </x:c>
      <x:c r="F141" s="29" t="str">
        <x:v>Punch</x:v>
      </x:c>
      <x:c r="G141" s="29" t="str">
        <x:v>Proposta</x:v>
      </x:c>
      <x:c r="H141" s="30" t="str">
        <x:v>Bersaglio</x:v>
      </x:c>
      <x:c r="I141" s="31" t="n">
        <x:v>1</x:v>
      </x:c>
      <x:c r="J141" s="32" t="n">
        <x:v>128</x:v>
      </x:c>
      <x:c r="K141" s="29" t="str">
        <x:v>Proposta individuale basata su forma, colore e tema visivo; da verificare in anteprima.</x:v>
      </x:c>
      <x:c r="L141" s="29" t="str">
        <x:v>punch</x:v>
      </x:c>
    </x:row>
    <x:row r="142" ht="46" customHeight="1">
      <x:c r="A142" s="22" t="n">
        <x:v>129</x:v>
      </x:c>
      <x:c r="B142" s="19" t="str">
        <x:v>Colpo Rabbioso</x:v>
      </x:c>
      <x:c r="C142" s="19" t="str">
        <x:v>Normale</x:v>
      </x:c>
      <x:c r="D142" s="33" t="str">
        <x:v>Media</x:v>
      </x:c>
      <x:c r="E142" s="19" t="str">
        <x:v>Grimbolt #25</x:v>
      </x:c>
      <x:c r="F142" s="19" t="str">
        <x:v>Lynn.Img Skill HitHard Hit</x:v>
      </x:c>
      <x:c r="G142" s="37" t="str">
        <x:v>Calibrazione confermata</x:v>
      </x:c>
      <x:c r="H142" s="24" t="str">
        <x:v>Bersaglio</x:v>
      </x:c>
      <x:c r="I142" s="25" t="n">
        <x:v>1</x:v>
      </x:c>
      <x:c r="J142" s="26" t="n">
        <x:v>129</x:v>
      </x:c>
      <x:c r="K142" s="19" t="str">
        <x:v>Calibrazione confermata dall’utente; assegnazione individuale secondo il colore del moveset.</x:v>
      </x:c>
      <x:c r="L142" s="19" t="str">
        <x:v>generated:lynn-img_skill_hithard_hit-images_nested_sheet</x:v>
      </x:c>
    </x:row>
    <x:row r="143" ht="46" customHeight="1">
      <x:c r="A143" s="28" t="n">
        <x:v>130</x:v>
      </x:c>
      <x:c r="B143" s="29" t="str">
        <x:v>Pinna Rotante</x:v>
      </x:c>
      <x:c r="C143" s="29" t="str">
        <x:v>Normale</x:v>
      </x:c>
      <x:c r="D143" s="27" t="str">
        <x:v>Leggera</x:v>
      </x:c>
      <x:c r="E143" s="29" t="str">
        <x:v>Deephion #56</x:v>
      </x:c>
      <x:c r="F143" s="34" t="str"/>
      <x:c r="G143" s="34" t="str">
        <x:v>Da creare</x:v>
      </x:c>
      <x:c r="H143" s="30" t="str"/>
      <x:c r="I143" s="31"/>
      <x:c r="J143" s="32" t="n">
        <x:v>130</x:v>
      </x:c>
      <x:c r="K143" s="29" t="str">
        <x:v>Da reperire un VFX distinto; l’eventuale effetto generico nel gioco non conta come assegnazione.</x:v>
      </x:c>
      <x:c r="L143" s="29" t="str"/>
    </x:row>
    <x:row r="144" ht="46" customHeight="1">
      <x:c r="A144" s="22" t="n">
        <x:v>131</x:v>
      </x:c>
      <x:c r="B144" s="19" t="str">
        <x:v>Danza dei Fondali</x:v>
      </x:c>
      <x:c r="C144" s="19" t="str">
        <x:v>Normale</x:v>
      </x:c>
      <x:c r="D144" s="33" t="str">
        <x:v>Media</x:v>
      </x:c>
      <x:c r="E144" s="19" t="str">
        <x:v>Deephion #57</x:v>
      </x:c>
      <x:c r="F144" s="34" t="str"/>
      <x:c r="G144" s="34" t="str">
        <x:v>Da creare</x:v>
      </x:c>
      <x:c r="H144" s="24" t="str"/>
      <x:c r="I144" s="25"/>
      <x:c r="J144" s="26" t="n">
        <x:v>131</x:v>
      </x:c>
      <x:c r="K144" s="19" t="str">
        <x:v>Da reperire un VFX distinto; l’eventuale effetto generico nel gioco non conta come assegnazione.</x:v>
      </x:c>
      <x:c r="L144" s="19" t="str"/>
    </x:row>
    <x:row r="145" ht="46" customHeight="1">
      <x:c r="A145" s="28" t="n">
        <x:v>132</x:v>
      </x:c>
      <x:c r="B145" s="29" t="str">
        <x:v>Terrore del Fienile</x:v>
      </x:c>
      <x:c r="C145" s="29" t="str">
        <x:v>Terra</x:v>
      </x:c>
      <x:c r="D145" s="27" t="str">
        <x:v>Leggera</x:v>
      </x:c>
      <x:c r="E145" s="29" t="str">
        <x:v>Fearstraw #67</x:v>
      </x:c>
      <x:c r="F145" s="34" t="str"/>
      <x:c r="G145" s="34" t="str">
        <x:v>Da creare</x:v>
      </x:c>
      <x:c r="H145" s="30" t="str"/>
      <x:c r="I145" s="31"/>
      <x:c r="J145" s="32" t="n">
        <x:v>132</x:v>
      </x:c>
      <x:c r="K145" s="29" t="str">
        <x:v>Da reperire un VFX distinto; l’eventuale effetto generico nel gioco non conta come assegnazione.</x:v>
      </x:c>
      <x:c r="L145" s="29" t="str"/>
    </x:row>
    <x:row r="146" ht="46" customHeight="1">
      <x:c r="A146" s="22" t="n">
        <x:v>133</x:v>
      </x:c>
      <x:c r="B146" s="19" t="str">
        <x:v>Spauracchio Contadino</x:v>
      </x:c>
      <x:c r="C146" s="19" t="str">
        <x:v>Terra</x:v>
      </x:c>
      <x:c r="D146" s="33" t="str">
        <x:v>Media</x:v>
      </x:c>
      <x:c r="E146" s="19" t="str">
        <x:v>Fearstraw #68</x:v>
      </x:c>
      <x:c r="F146" s="34" t="str"/>
      <x:c r="G146" s="34" t="str">
        <x:v>Da creare</x:v>
      </x:c>
      <x:c r="H146" s="24" t="str"/>
      <x:c r="I146" s="25"/>
      <x:c r="J146" s="26" t="n">
        <x:v>133</x:v>
      </x:c>
      <x:c r="K146" s="19" t="str">
        <x:v>Da reperire un VFX distinto; l’eventuale effetto generico nel gioco non conta come assegnazione.</x:v>
      </x:c>
      <x:c r="L146" s="19" t="str"/>
    </x:row>
    <x:row r="147" ht="46" customHeight="1">
      <x:c r="A147" s="28" t="n">
        <x:v>134</x:v>
      </x:c>
      <x:c r="B147" s="29" t="str">
        <x:v>Foglia Quantica</x:v>
      </x:c>
      <x:c r="C147" s="29" t="str">
        <x:v>Erba</x:v>
      </x:c>
      <x:c r="D147" s="33" t="str">
        <x:v>Media</x:v>
      </x:c>
      <x:c r="E147" s="29" t="str">
        <x:v>Shrody #21</x:v>
      </x:c>
      <x:c r="F147" s="29" t="str">
        <x:v>BasicEff.Img JobChangedAdeleFront</x:v>
      </x:c>
      <x:c r="G147" s="29" t="str">
        <x:v>Proposta</x:v>
      </x:c>
      <x:c r="H147" s="30" t="str">
        <x:v>Bersaglio</x:v>
      </x:c>
      <x:c r="I147" s="31" t="n">
        <x:v>1</x:v>
      </x:c>
      <x:c r="J147" s="32" t="n">
        <x:v>134</x:v>
      </x:c>
      <x:c r="K147" s="29" t="str">
        <x:v>Proposta individuale basata su forma, colore e tema visivo; da verificare in anteprima.</x:v>
      </x:c>
      <x:c r="L147" s="29" t="str">
        <x:v>generated:basiceff-img_jobchangedadelefront-images_nested_sheet</x:v>
      </x:c>
    </x:row>
    <x:row r="148" ht="46" customHeight="1">
      <x:c r="A148" s="22" t="n">
        <x:v>135</x:v>
      </x:c>
      <x:c r="B148" s="19" t="str">
        <x:v>Incendio a Staffetta</x:v>
      </x:c>
      <x:c r="C148" s="19" t="str">
        <x:v>Fuoco</x:v>
      </x:c>
      <x:c r="D148" s="36" t="str">
        <x:v>Forte</x:v>
      </x:c>
      <x:c r="E148" s="19" t="str">
        <x:v>Hoppiox #66</x:v>
      </x:c>
      <x:c r="F148" s="34" t="str"/>
      <x:c r="G148" s="34" t="str">
        <x:v>Da creare</x:v>
      </x:c>
      <x:c r="H148" s="24" t="str"/>
      <x:c r="I148" s="25"/>
      <x:c r="J148" s="26" t="n">
        <x:v>135</x:v>
      </x:c>
      <x:c r="K148" s="19" t="str">
        <x:v>Da reperire un VFX distinto; l’eventuale effetto generico nel gioco non conta come assegnazione.</x:v>
      </x:c>
      <x:c r="L148" s="19" t="str"/>
    </x:row>
    <x:row r="149" ht="46" customHeight="1">
      <x:c r="A149" s="28" t="n">
        <x:v>136</x:v>
      </x:c>
      <x:c r="B149" s="29" t="str">
        <x:v>Maremoto Sotterraneo</x:v>
      </x:c>
      <x:c r="C149" s="29" t="str">
        <x:v>Terra</x:v>
      </x:c>
      <x:c r="D149" s="36" t="str">
        <x:v>Forte</x:v>
      </x:c>
      <x:c r="E149" s="29" t="str">
        <x:v>Reliskull #82</x:v>
      </x:c>
      <x:c r="F149" s="34" t="str"/>
      <x:c r="G149" s="34" t="str">
        <x:v>Da creare</x:v>
      </x:c>
      <x:c r="H149" s="30" t="str"/>
      <x:c r="I149" s="31"/>
      <x:c r="J149" s="32" t="n">
        <x:v>136</x:v>
      </x:c>
      <x:c r="K149" s="29" t="str">
        <x:v>Da reperire un VFX distinto; l’eventuale effetto generico nel gioco non conta come assegnazione.</x:v>
      </x:c>
      <x:c r="L149" s="29" t="str"/>
    </x:row>
    <x:row r="150" ht="46" customHeight="1">
      <x:c r="A150" s="22" t="n">
        <x:v>137</x:v>
      </x:c>
      <x:c r="B150" s="19" t="str">
        <x:v>Sbattimuso</x:v>
      </x:c>
      <x:c r="C150" s="19" t="str">
        <x:v>Normale</x:v>
      </x:c>
      <x:c r="D150" s="36" t="str">
        <x:v>Forte</x:v>
      </x:c>
      <x:c r="E150" s="19" t="str">
        <x:v>Wailoom #61</x:v>
      </x:c>
      <x:c r="F150" s="34" t="str"/>
      <x:c r="G150" s="34" t="str">
        <x:v>Da creare</x:v>
      </x:c>
      <x:c r="H150" s="24" t="str"/>
      <x:c r="I150" s="25"/>
      <x:c r="J150" s="26" t="n">
        <x:v>137</x:v>
      </x:c>
      <x:c r="K150" s="19" t="str">
        <x:v>Da reperire un VFX distinto; l’eventuale effetto generico nel gioco non conta come assegnazione.</x:v>
      </x:c>
      <x:c r="L150" s="19" t="str"/>
    </x:row>
    <x:row r="151" ht="46" customHeight="1">
      <x:c r="A151" s="28" t="n">
        <x:v>138</x:v>
      </x:c>
      <x:c r="B151" s="29" t="str">
        <x:v>Dardo di Fiamma</x:v>
      </x:c>
      <x:c r="C151" s="29" t="str">
        <x:v>Fuoco</x:v>
      </x:c>
      <x:c r="D151" s="27" t="str">
        <x:v>Leggera</x:v>
      </x:c>
      <x:c r="E151" s="29" t="str">
        <x:v>Darklaw #5</x:v>
      </x:c>
      <x:c r="F151" s="34" t="str"/>
      <x:c r="G151" s="34" t="str">
        <x:v>Da creare</x:v>
      </x:c>
      <x:c r="H151" s="30" t="str"/>
      <x:c r="I151" s="31"/>
      <x:c r="J151" s="32" t="n">
        <x:v>138</x:v>
      </x:c>
      <x:c r="K151" s="29" t="str">
        <x:v>Da reperire un VFX distinto; l’eventuale effetto generico nel gioco non conta come assegnazione.</x:v>
      </x:c>
      <x:c r="L151" s="29" t="str"/>
    </x:row>
    <x:row r="152" ht="46" customHeight="1">
      <x:c r="A152" s="22" t="n">
        <x:v>139</x:v>
      </x:c>
      <x:c r="B152" s="19" t="str">
        <x:v>Pioggia di Scintille</x:v>
      </x:c>
      <x:c r="C152" s="19" t="str">
        <x:v>Fuoco</x:v>
      </x:c>
      <x:c r="D152" s="33" t="str">
        <x:v>Media</x:v>
      </x:c>
      <x:c r="E152" s="19" t="str">
        <x:v>Darklaw #6</x:v>
      </x:c>
      <x:c r="F152" s="34" t="str"/>
      <x:c r="G152" s="34" t="str">
        <x:v>Da creare</x:v>
      </x:c>
      <x:c r="H152" s="24" t="str"/>
      <x:c r="I152" s="25"/>
      <x:c r="J152" s="26" t="n">
        <x:v>139</x:v>
      </x:c>
      <x:c r="K152" s="19" t="str">
        <x:v>Da reperire un VFX distinto; l’eventuale effetto generico nel gioco non conta come assegnazione.</x:v>
      </x:c>
      <x:c r="L152" s="19" t="str"/>
    </x:row>
    <x:row r="153" ht="46" customHeight="1">
      <x:c r="A153" s="28" t="n">
        <x:v>140</x:v>
      </x:c>
      <x:c r="B153" s="29" t="str">
        <x:v>Furia Fuliggine</x:v>
      </x:c>
      <x:c r="C153" s="29" t="str">
        <x:v>Fuoco</x:v>
      </x:c>
      <x:c r="D153" s="33" t="str">
        <x:v>Media</x:v>
      </x:c>
      <x:c r="E153" s="29" t="str">
        <x:v>Darklaw #7</x:v>
      </x:c>
      <x:c r="F153" s="34" t="str"/>
      <x:c r="G153" s="34" t="str">
        <x:v>Da creare</x:v>
      </x:c>
      <x:c r="H153" s="30" t="str"/>
      <x:c r="I153" s="31"/>
      <x:c r="J153" s="32" t="n">
        <x:v>140</x:v>
      </x:c>
      <x:c r="K153" s="29" t="str">
        <x:v>Da reperire un VFX distinto; l’eventuale effetto generico nel gioco non conta come assegnazione.</x:v>
      </x:c>
      <x:c r="L153" s="29" t="str"/>
    </x:row>
    <x:row r="154" ht="46" customHeight="1">
      <x:c r="A154" s="22" t="n">
        <x:v>141</x:v>
      </x:c>
      <x:c r="B154" s="19" t="str">
        <x:v>Mantello di Carbone</x:v>
      </x:c>
      <x:c r="C154" s="19" t="str">
        <x:v>Fuoco</x:v>
      </x:c>
      <x:c r="D154" s="36" t="str">
        <x:v>Forte</x:v>
      </x:c>
      <x:c r="E154" s="19" t="str">
        <x:v>Darklaw #8</x:v>
      </x:c>
      <x:c r="F154" s="19" t="str">
        <x:v>BasicEff.Img SpecModeEndEffect</x:v>
      </x:c>
      <x:c r="G154" s="19" t="str">
        <x:v>Proposta</x:v>
      </x:c>
      <x:c r="H154" s="24" t="str">
        <x:v>Bersaglio</x:v>
      </x:c>
      <x:c r="I154" s="25" t="n">
        <x:v>1</x:v>
      </x:c>
      <x:c r="J154" s="26" t="n">
        <x:v>141</x:v>
      </x:c>
      <x:c r="K154" s="19" t="str">
        <x:v>Proposta individuale basata su forma, colore e tema visivo; da verificare in anteprima.</x:v>
      </x:c>
      <x:c r="L154" s="19" t="str">
        <x:v>generated:basiceff-img_specmodeendeffect-images_nested_sheet</x:v>
      </x:c>
    </x:row>
    <x:row r="155" ht="46" customHeight="1">
      <x:c r="A155" s="28" t="n">
        <x:v>142</x:v>
      </x:c>
      <x:c r="B155" s="29" t="str">
        <x:v>Sguardo Minaccioso</x:v>
      </x:c>
      <x:c r="C155" s="29" t="str">
        <x:v>Oscurità</x:v>
      </x:c>
      <x:c r="D155" s="27" t="str">
        <x:v>Leggera</x:v>
      </x:c>
      <x:c r="E155" s="29" t="str">
        <x:v>Pyrodil #92</x:v>
      </x:c>
      <x:c r="F155" s="34" t="str"/>
      <x:c r="G155" s="34" t="str">
        <x:v>Da creare</x:v>
      </x:c>
      <x:c r="H155" s="30" t="str"/>
      <x:c r="I155" s="31"/>
      <x:c r="J155" s="32" t="n">
        <x:v>142</x:v>
      </x:c>
      <x:c r="K155" s="29" t="str">
        <x:v>Da reperire un VFX distinto; l’eventuale effetto generico nel gioco non conta come assegnazione.</x:v>
      </x:c>
      <x:c r="L155" s="29" t="str"/>
    </x:row>
    <x:row r="156" ht="46" customHeight="1">
      <x:c r="A156" s="22" t="n">
        <x:v>143</x:v>
      </x:c>
      <x:c r="B156" s="19" t="str">
        <x:v>Ombra Rossa</x:v>
      </x:c>
      <x:c r="C156" s="19" t="str">
        <x:v>Oscurità</x:v>
      </x:c>
      <x:c r="D156" s="33" t="str">
        <x:v>Media</x:v>
      </x:c>
      <x:c r="E156" s="19" t="str">
        <x:v>Pyrodil #93</x:v>
      </x:c>
      <x:c r="F156" s="19" t="str">
        <x:v>Dmitry Sarkisov Ssss</x:v>
      </x:c>
      <x:c r="G156" s="38" t="str">
        <x:v>Da adattare</x:v>
      </x:c>
      <x:c r="H156" s="24" t="str">
        <x:v>Centro</x:v>
      </x:c>
      <x:c r="I156" s="25" t="n">
        <x:v>1</x:v>
      </x:c>
      <x:c r="J156" s="26" t="n">
        <x:v>143</x:v>
      </x:c>
      <x:c r="K156" s="19" t="str">
        <x:v>La GIF contiene un fondale colorato: estrarre l’effetto prima dell’uso definitivo.</x:v>
      </x:c>
      <x:c r="L156" s="19" t="str">
        <x:v>gif:dmitry-sarkisov-ssss</x:v>
      </x:c>
    </x:row>
    <x:row r="157" ht="46" customHeight="1">
      <x:c r="A157" s="28" t="n">
        <x:v>144</x:v>
      </x:c>
      <x:c r="B157" s="29" t="str">
        <x:v>Piaga delle Tenebre</x:v>
      </x:c>
      <x:c r="C157" s="29" t="str">
        <x:v>Oscurità</x:v>
      </x:c>
      <x:c r="D157" s="36" t="str">
        <x:v>Forte</x:v>
      </x:c>
      <x:c r="E157" s="29" t="str">
        <x:v>Pyrodil #94</x:v>
      </x:c>
      <x:c r="F157" s="29" t="str">
        <x:v>HighMountain.Img Effect Tynus Burst 2</x:v>
      </x:c>
      <x:c r="G157" s="29" t="str">
        <x:v>Proposta</x:v>
      </x:c>
      <x:c r="H157" s="30" t="str">
        <x:v>Bersaglio</x:v>
      </x:c>
      <x:c r="I157" s="31" t="n">
        <x:v>1</x:v>
      </x:c>
      <x:c r="J157" s="32" t="n">
        <x:v>144</x:v>
      </x:c>
      <x:c r="K157" s="29" t="str">
        <x:v>Proposta individuale basata su forma, colore e tema visivo; da verificare in anteprima.</x:v>
      </x:c>
      <x:c r="L157" s="29" t="str">
        <x:v>generated:highmountain-img_effect_tynus_burst_2-images_nested_sheet</x:v>
      </x:c>
    </x:row>
    <x:row r="158" ht="46" customHeight="1">
      <x:c r="A158" s="22" t="n">
        <x:v>145</x:v>
      </x:c>
      <x:c r="B158" s="19" t="str">
        <x:v>Lancio di Libri</x:v>
      </x:c>
      <x:c r="C158" s="19" t="str">
        <x:v>Normale</x:v>
      </x:c>
      <x:c r="D158" s="27" t="str">
        <x:v>Leggera</x:v>
      </x:c>
      <x:c r="E158" s="19" t="str">
        <x:v>Impise #74</x:v>
      </x:c>
      <x:c r="F158" s="19" t="str">
        <x:v>BasicEff.Img DragonJump</x:v>
      </x:c>
      <x:c r="G158" s="19" t="str">
        <x:v>Proposta</x:v>
      </x:c>
      <x:c r="H158" s="24" t="str">
        <x:v>Bersaglio</x:v>
      </x:c>
      <x:c r="I158" s="25" t="n">
        <x:v>1</x:v>
      </x:c>
      <x:c r="J158" s="26" t="n">
        <x:v>145</x:v>
      </x:c>
      <x:c r="K158" s="19" t="str">
        <x:v>Proposta individuale basata su forma, colore e tema visivo; da verificare in anteprima.</x:v>
      </x:c>
      <x:c r="L158" s="19" t="str">
        <x:v>generated:basiceff-img_dragonjump-images_nested_sheet</x:v>
      </x:c>
    </x:row>
    <x:row r="159" ht="46" customHeight="1">
      <x:c r="A159" s="28" t="n">
        <x:v>146</x:v>
      </x:c>
      <x:c r="B159" s="29" t="str">
        <x:v>Pugno Saggio</x:v>
      </x:c>
      <x:c r="C159" s="29" t="str">
        <x:v>Normale</x:v>
      </x:c>
      <x:c r="D159" s="33" t="str">
        <x:v>Media</x:v>
      </x:c>
      <x:c r="E159" s="29" t="str">
        <x:v>Impise #75</x:v>
      </x:c>
      <x:c r="F159" s="29" t="str">
        <x:v>Guts Punch</x:v>
      </x:c>
      <x:c r="G159" s="29" t="str">
        <x:v>Proposta</x:v>
      </x:c>
      <x:c r="H159" s="30" t="str">
        <x:v>Bersaglio</x:v>
      </x:c>
      <x:c r="I159" s="31" t="n">
        <x:v>1</x:v>
      </x:c>
      <x:c r="J159" s="32" t="n">
        <x:v>146</x:v>
      </x:c>
      <x:c r="K159" s="29" t="str">
        <x:v>Proposta individuale basata su forma, colore e tema visivo; da verificare in anteprima.</x:v>
      </x:c>
      <x:c r="L159" s="29" t="str">
        <x:v>gutsPunchGif</x:v>
      </x:c>
    </x:row>
    <x:row r="160" ht="46" customHeight="1">
      <x:c r="A160" s="22" t="n">
        <x:v>147</x:v>
      </x:c>
      <x:c r="B160" s="19" t="str">
        <x:v>Conoscenza Antica</x:v>
      </x:c>
      <x:c r="C160" s="19" t="str">
        <x:v>Normale</x:v>
      </x:c>
      <x:c r="D160" s="36" t="str">
        <x:v>Forte</x:v>
      </x:c>
      <x:c r="E160" s="19" t="str">
        <x:v>Impise #76</x:v>
      </x:c>
      <x:c r="F160" s="19" t="str">
        <x:v>BasicEff.Img RewardEffect ScreenEff</x:v>
      </x:c>
      <x:c r="G160" s="19" t="str">
        <x:v>Proposta</x:v>
      </x:c>
      <x:c r="H160" s="24" t="str">
        <x:v>Bersaglio</x:v>
      </x:c>
      <x:c r="I160" s="25" t="n">
        <x:v>1</x:v>
      </x:c>
      <x:c r="J160" s="26" t="n">
        <x:v>147</x:v>
      </x:c>
      <x:c r="K160" s="19" t="str">
        <x:v>Proposta individuale basata su forma, colore e tema visivo; da verificare in anteprima.</x:v>
      </x:c>
      <x:c r="L160" s="19" t="str">
        <x:v>generated:basiceff-img_rewardeffect_screeneff-images_nested_sheet</x:v>
      </x:c>
    </x:row>
    <x:row r="161" ht="46" customHeight="1">
      <x:c r="A161" s="28" t="n">
        <x:v>148</x:v>
      </x:c>
      <x:c r="B161" s="29" t="str">
        <x:v>Salto Idroelettrico</x:v>
      </x:c>
      <x:c r="C161" s="29" t="str">
        <x:v>Acqua</x:v>
      </x:c>
      <x:c r="D161" s="27" t="str">
        <x:v>Leggera</x:v>
      </x:c>
      <x:c r="E161" s="29" t="str">
        <x:v>Chimzap #36</x:v>
      </x:c>
      <x:c r="F161" s="29" t="str">
        <x:v>BasicEff.Img ViperJump</x:v>
      </x:c>
      <x:c r="G161" s="29" t="str">
        <x:v>Proposta</x:v>
      </x:c>
      <x:c r="H161" s="30" t="str">
        <x:v>Bersaglio</x:v>
      </x:c>
      <x:c r="I161" s="31" t="n">
        <x:v>1</x:v>
      </x:c>
      <x:c r="J161" s="32" t="n">
        <x:v>148</x:v>
      </x:c>
      <x:c r="K161" s="29" t="str">
        <x:v>Proposta individuale basata su forma, colore e tema visivo; da verificare in anteprima.</x:v>
      </x:c>
      <x:c r="L161" s="29" t="str">
        <x:v>generated:basiceff-img_viperjump-images_nested_sheet</x:v>
      </x:c>
    </x:row>
    <x:row r="162" ht="46" customHeight="1">
      <x:c r="A162" s="22" t="n">
        <x:v>149</x:v>
      </x:c>
      <x:c r="B162" s="19" t="str">
        <x:v>Cascata Elettrificata</x:v>
      </x:c>
      <x:c r="C162" s="19" t="str">
        <x:v>Acqua</x:v>
      </x:c>
      <x:c r="D162" s="33" t="str">
        <x:v>Media</x:v>
      </x:c>
      <x:c r="E162" s="19" t="str">
        <x:v>Chimzap #37</x:v>
      </x:c>
      <x:c r="F162" s="34" t="str"/>
      <x:c r="G162" s="34" t="str">
        <x:v>Da creare</x:v>
      </x:c>
      <x:c r="H162" s="24" t="str"/>
      <x:c r="I162" s="25"/>
      <x:c r="J162" s="26" t="n">
        <x:v>149</x:v>
      </x:c>
      <x:c r="K162" s="19" t="str">
        <x:v>Da reperire un VFX distinto; l’eventuale effetto generico nel gioco non conta come assegnazione.</x:v>
      </x:c>
      <x:c r="L162" s="19" t="str"/>
    </x:row>
    <x:row r="163" ht="46" customHeight="1">
      <x:c r="A163" s="28" t="n">
        <x:v>150</x:v>
      </x:c>
      <x:c r="B163" s="29" t="str">
        <x:v>Idroscarica</x:v>
      </x:c>
      <x:c r="C163" s="29" t="str">
        <x:v>Acqua</x:v>
      </x:c>
      <x:c r="D163" s="36" t="str">
        <x:v>Forte</x:v>
      </x:c>
      <x:c r="E163" s="29" t="str">
        <x:v>Chimzap #38</x:v>
      </x:c>
      <x:c r="F163" s="29" t="str">
        <x:v>FieldGimmickEff.Img Glory E4Square2</x:v>
      </x:c>
      <x:c r="G163" s="29" t="str">
        <x:v>Proposta</x:v>
      </x:c>
      <x:c r="H163" s="30" t="str">
        <x:v>Bersaglio</x:v>
      </x:c>
      <x:c r="I163" s="31" t="n">
        <x:v>1</x:v>
      </x:c>
      <x:c r="J163" s="32" t="n">
        <x:v>150</x:v>
      </x:c>
      <x:c r="K163" s="29" t="str">
        <x:v>Proposta individuale basata su forma, colore e tema visivo; da verificare in anteprima.</x:v>
      </x:c>
      <x:c r="L163" s="29" t="str">
        <x:v>generated:fieldgimmickeff-img_glory_e4square2-images_nested_sheet</x:v>
      </x:c>
    </x:row>
    <x:row r="164" ht="46" customHeight="1">
      <x:c r="A164" s="22" t="n">
        <x:v>151</x:v>
      </x:c>
      <x:c r="B164" s="19" t="str">
        <x:v>Scatto veloce</x:v>
      </x:c>
      <x:c r="C164" s="19" t="str">
        <x:v>Normale</x:v>
      </x:c>
      <x:c r="D164" s="27" t="str">
        <x:v>Leggera</x:v>
      </x:c>
      <x:c r="E164" s="19" t="str">
        <x:v>Silvard #28</x:v>
      </x:c>
      <x:c r="F164" s="19" t="str">
        <x:v>BasicEff.Img QuickSilver</x:v>
      </x:c>
      <x:c r="G164" s="19" t="str">
        <x:v>Proposta</x:v>
      </x:c>
      <x:c r="H164" s="24" t="str">
        <x:v>Bersaglio</x:v>
      </x:c>
      <x:c r="I164" s="25" t="n">
        <x:v>1</x:v>
      </x:c>
      <x:c r="J164" s="26" t="n">
        <x:v>151</x:v>
      </x:c>
      <x:c r="K164" s="19" t="str">
        <x:v>Proposta individuale basata su forma, colore e tema visivo; da verificare in anteprima.</x:v>
      </x:c>
      <x:c r="L164" s="19" t="str">
        <x:v>generated:basiceff-img_quicksilver-images_nested_sheet</x:v>
      </x:c>
    </x:row>
    <x:row r="165" ht="46" customHeight="1">
      <x:c r="A165" s="28" t="n">
        <x:v>152</x:v>
      </x:c>
      <x:c r="B165" s="29" t="str">
        <x:v>Corsa inarrestabile</x:v>
      </x:c>
      <x:c r="C165" s="29" t="str">
        <x:v>Normale</x:v>
      </x:c>
      <x:c r="D165" s="33" t="str">
        <x:v>Media</x:v>
      </x:c>
      <x:c r="E165" s="29" t="str">
        <x:v>Silvard #29</x:v>
      </x:c>
      <x:c r="F165" s="34" t="str"/>
      <x:c r="G165" s="34" t="str">
        <x:v>Da creare</x:v>
      </x:c>
      <x:c r="H165" s="30" t="str"/>
      <x:c r="I165" s="31"/>
      <x:c r="J165" s="32" t="n">
        <x:v>152</x:v>
      </x:c>
      <x:c r="K165" s="29" t="str">
        <x:v>Da reperire un VFX distinto; l’eventuale effetto generico nel gioco non conta come assegnazione.</x:v>
      </x:c>
      <x:c r="L165" s="29" t="str"/>
    </x:row>
    <x:row r="166" ht="46" customHeight="1">
      <x:c r="A166" s="22" t="n">
        <x:v>153</x:v>
      </x:c>
      <x:c r="B166" s="19" t="str">
        <x:v>Respiro profondo</x:v>
      </x:c>
      <x:c r="C166" s="19" t="str">
        <x:v>Normale</x:v>
      </x:c>
      <x:c r="D166" s="27" t="str">
        <x:v>Leggera</x:v>
      </x:c>
      <x:c r="E166" s="19" t="str">
        <x:v>Psycroak #84</x:v>
      </x:c>
      <x:c r="F166" s="19" t="str">
        <x:v>Cure</x:v>
      </x:c>
      <x:c r="G166" s="19" t="str">
        <x:v>Proposta</x:v>
      </x:c>
      <x:c r="H166" s="24" t="str">
        <x:v>Utilizzatore</x:v>
      </x:c>
      <x:c r="I166" s="25" t="n">
        <x:v>1</x:v>
      </x:c>
      <x:c r="J166" s="26" t="n">
        <x:v>153</x:v>
      </x:c>
      <x:c r="K166" s="19" t="str">
        <x:v>Proposta individuale basata su forma, colore e tema visivo; da verificare in anteprima.</x:v>
      </x:c>
      <x:c r="L166" s="19" t="str">
        <x:v>cure</x:v>
      </x:c>
    </x:row>
    <x:row r="167" ht="46" customHeight="1">
      <x:c r="A167" s="28" t="n">
        <x:v>154</x:v>
      </x:c>
      <x:c r="B167" s="29" t="str">
        <x:v>Tocco di pace</x:v>
      </x:c>
      <x:c r="C167" s="29" t="str">
        <x:v>Normale</x:v>
      </x:c>
      <x:c r="D167" s="33" t="str">
        <x:v>Media</x:v>
      </x:c>
      <x:c r="E167" s="29" t="str">
        <x:v>Psycroak #85</x:v>
      </x:c>
      <x:c r="F167" s="29" t="str">
        <x:v>Cure GIF</x:v>
      </x:c>
      <x:c r="G167" s="29" t="str">
        <x:v>Proposta</x:v>
      </x:c>
      <x:c r="H167" s="30" t="str">
        <x:v>Utilizzatore</x:v>
      </x:c>
      <x:c r="I167" s="31" t="n">
        <x:v>1</x:v>
      </x:c>
      <x:c r="J167" s="32" t="n">
        <x:v>154</x:v>
      </x:c>
      <x:c r="K167" s="29" t="str">
        <x:v>Proposta individuale basata su forma, colore e tema visivo; da verificare in anteprima.</x:v>
      </x:c>
      <x:c r="L167" s="29" t="str">
        <x:v>cureGif</x:v>
      </x:c>
    </x:row>
    <x:row r="168" ht="46" customHeight="1">
      <x:c r="A168" s="22" t="n">
        <x:v>155</x:v>
      </x:c>
      <x:c r="B168" s="19" t="str">
        <x:v>Volo Furtivo</x:v>
      </x:c>
      <x:c r="C168" s="19" t="str">
        <x:v>Normale</x:v>
      </x:c>
      <x:c r="D168" s="27" t="str">
        <x:v>Leggera</x:v>
      </x:c>
      <x:c r="E168" s="19" t="str">
        <x:v>Spectron #45</x:v>
      </x:c>
      <x:c r="F168" s="34" t="str"/>
      <x:c r="G168" s="34" t="str">
        <x:v>Da creare</x:v>
      </x:c>
      <x:c r="H168" s="24" t="str"/>
      <x:c r="I168" s="25"/>
      <x:c r="J168" s="26" t="n">
        <x:v>155</x:v>
      </x:c>
      <x:c r="K168" s="19" t="str">
        <x:v>Da reperire un VFX distinto; l’eventuale effetto generico nel gioco non conta come assegnazione.</x:v>
      </x:c>
      <x:c r="L168" s="19" t="str"/>
    </x:row>
    <x:row r="169" ht="46" customHeight="1">
      <x:c r="A169" s="28" t="n">
        <x:v>156</x:v>
      </x:c>
      <x:c r="B169" s="29" t="str">
        <x:v>Sferzata Celata</x:v>
      </x:c>
      <x:c r="C169" s="29" t="str">
        <x:v>Normale</x:v>
      </x:c>
      <x:c r="D169" s="36" t="str">
        <x:v>Forte</x:v>
      </x:c>
      <x:c r="E169" s="29" t="str">
        <x:v>Spectron #46</x:v>
      </x:c>
      <x:c r="F169" s="29" t="str">
        <x:v>32efb159a574c80340a9fc81af4bf558</x:v>
      </x:c>
      <x:c r="G169" s="29" t="str">
        <x:v>Proposta</x:v>
      </x:c>
      <x:c r="H169" s="30" t="str">
        <x:v>Bersaglio</x:v>
      </x:c>
      <x:c r="I169" s="31" t="n">
        <x:v>1</x:v>
      </x:c>
      <x:c r="J169" s="32" t="n">
        <x:v>156</x:v>
      </x:c>
      <x:c r="K169" s="29" t="str">
        <x:v>Proposta individuale basata su forma, colore e tema visivo; da verificare in anteprima.</x:v>
      </x:c>
      <x:c r="L169" s="29" t="str">
        <x:v>gif:32efb159a574c80340a9fc81af4bf558</x:v>
      </x:c>
    </x:row>
    <x:row r="170" ht="46" customHeight="1">
      <x:c r="A170" s="22" t="n">
        <x:v>157</x:v>
      </x:c>
      <x:c r="B170" s="19" t="str">
        <x:v>Fendente Ombraverde</x:v>
      </x:c>
      <x:c r="C170" s="19" t="str">
        <x:v>Erba</x:v>
      </x:c>
      <x:c r="D170" s="27" t="str">
        <x:v>Leggera</x:v>
      </x:c>
      <x:c r="E170" s="19" t="str">
        <x:v>Xesar #101</x:v>
      </x:c>
      <x:c r="F170" s="19" t="str">
        <x:v>Slash</x:v>
      </x:c>
      <x:c r="G170" s="19" t="str">
        <x:v>Proposta</x:v>
      </x:c>
      <x:c r="H170" s="24" t="str">
        <x:v>Bersaglio</x:v>
      </x:c>
      <x:c r="I170" s="25" t="n">
        <x:v>1</x:v>
      </x:c>
      <x:c r="J170" s="26" t="n">
        <x:v>157</x:v>
      </x:c>
      <x:c r="K170" s="19" t="str">
        <x:v>Proposta individuale basata su forma, colore e tema visivo; da verificare in anteprima.</x:v>
      </x:c>
      <x:c r="L170" s="19" t="str">
        <x:v>slash</x:v>
      </x:c>
    </x:row>
    <x:row r="171" ht="46" customHeight="1">
      <x:c r="A171" s="28" t="n">
        <x:v>158</x:v>
      </x:c>
      <x:c r="B171" s="29" t="str">
        <x:v>Lama Sanguisuga</x:v>
      </x:c>
      <x:c r="C171" s="29" t="str">
        <x:v>Erba</x:v>
      </x:c>
      <x:c r="D171" s="33" t="str">
        <x:v>Media</x:v>
      </x:c>
      <x:c r="E171" s="29" t="str">
        <x:v>Xesar #102</x:v>
      </x:c>
      <x:c r="F171" s="29" t="str">
        <x:v>Direction.Img Effect Skill Vampirehit 0</x:v>
      </x:c>
      <x:c r="G171" s="29" t="str">
        <x:v>Proposta</x:v>
      </x:c>
      <x:c r="H171" s="30" t="str">
        <x:v>Bersaglio</x:v>
      </x:c>
      <x:c r="I171" s="31" t="n">
        <x:v>1</x:v>
      </x:c>
      <x:c r="J171" s="32" t="n">
        <x:v>158</x:v>
      </x:c>
      <x:c r="K171" s="29" t="str">
        <x:v>Proposta individuale basata su forma, colore e tema visivo; da verificare in anteprima.</x:v>
      </x:c>
      <x:c r="L171" s="29" t="str">
        <x:v>generated:direction-img_effect_skill_vampirehit_0-images_nested_sheet</x:v>
      </x:c>
    </x:row>
    <x:row r="172" ht="46" customHeight="1">
      <x:c r="A172" s="22" t="n">
        <x:v>159</x:v>
      </x:c>
      <x:c r="B172" s="19" t="str">
        <x:v>Leccata Fangosa</x:v>
      </x:c>
      <x:c r="C172" s="19" t="str">
        <x:v>Terra</x:v>
      </x:c>
      <x:c r="D172" s="27" t="str">
        <x:v>Leggera</x:v>
      </x:c>
      <x:c r="E172" s="19" t="str">
        <x:v>Lickard #69</x:v>
      </x:c>
      <x:c r="F172" s="34" t="str"/>
      <x:c r="G172" s="34" t="str">
        <x:v>Da creare</x:v>
      </x:c>
      <x:c r="H172" s="24" t="str"/>
      <x:c r="I172" s="25"/>
      <x:c r="J172" s="26" t="n">
        <x:v>159</x:v>
      </x:c>
      <x:c r="K172" s="19" t="str">
        <x:v>Da reperire un VFX distinto; l’eventuale effetto generico nel gioco non conta come assegnazione.</x:v>
      </x:c>
      <x:c r="L172" s="19" t="str"/>
    </x:row>
    <x:row r="173" ht="46" customHeight="1">
      <x:c r="A173" s="28" t="n">
        <x:v>160</x:v>
      </x:c>
      <x:c r="B173" s="29" t="str">
        <x:v>Baratro Melmoso</x:v>
      </x:c>
      <x:c r="C173" s="29" t="str">
        <x:v>Terra</x:v>
      </x:c>
      <x:c r="D173" s="33" t="str">
        <x:v>Media</x:v>
      </x:c>
      <x:c r="E173" s="29" t="str">
        <x:v>Lickard #70</x:v>
      </x:c>
      <x:c r="F173" s="34" t="str"/>
      <x:c r="G173" s="34" t="str">
        <x:v>Da creare</x:v>
      </x:c>
      <x:c r="H173" s="30" t="str"/>
      <x:c r="I173" s="31"/>
      <x:c r="J173" s="32" t="n">
        <x:v>160</x:v>
      </x:c>
      <x:c r="K173" s="29" t="str">
        <x:v>Da reperire un VFX distinto; l’eventuale effetto generico nel gioco non conta come assegnazione.</x:v>
      </x:c>
      <x:c r="L173" s="29" t="str"/>
    </x:row>
    <x:row r="174" ht="46" customHeight="1">
      <x:c r="A174" s="22" t="n">
        <x:v>161</x:v>
      </x:c>
      <x:c r="B174" s="19" t="str">
        <x:v>Richiamo del Bosco</x:v>
      </x:c>
      <x:c r="C174" s="19" t="str">
        <x:v>Erba</x:v>
      </x:c>
      <x:c r="D174" s="36" t="str">
        <x:v>Forte</x:v>
      </x:c>
      <x:c r="E174" s="19" t="str">
        <x:v>Voltrake #22</x:v>
      </x:c>
      <x:c r="F174" s="19" t="str">
        <x:v>JinHillah.Img Altar Success</x:v>
      </x:c>
      <x:c r="G174" s="19" t="str">
        <x:v>Proposta</x:v>
      </x:c>
      <x:c r="H174" s="24" t="str">
        <x:v>Bersaglio</x:v>
      </x:c>
      <x:c r="I174" s="25" t="n">
        <x:v>1</x:v>
      </x:c>
      <x:c r="J174" s="26" t="n">
        <x:v>161</x:v>
      </x:c>
      <x:c r="K174" s="19" t="str">
        <x:v>Proposta individuale basata su forma, colore e tema visivo; da verificare in anteprima.</x:v>
      </x:c>
      <x:c r="L174" s="19" t="str">
        <x:v>generated:jinhillah-img_altar_success-images_nested_sheet</x:v>
      </x:c>
    </x:row>
    <x:row r="175" ht="46" customHeight="1">
      <x:c r="A175" s="28" t="n">
        <x:v>162</x:v>
      </x:c>
      <x:c r="B175" s="29" t="str">
        <x:v>Trappola Saltellante</x:v>
      </x:c>
      <x:c r="C175" s="29" t="str">
        <x:v>Erba</x:v>
      </x:c>
      <x:c r="D175" s="33" t="str">
        <x:v>Media</x:v>
      </x:c>
      <x:c r="E175" s="29" t="str">
        <x:v>Sparkly #23</x:v>
      </x:c>
      <x:c r="F175" s="34" t="str"/>
      <x:c r="G175" s="34" t="str">
        <x:v>Da creare</x:v>
      </x:c>
      <x:c r="H175" s="30" t="str"/>
      <x:c r="I175" s="31"/>
      <x:c r="J175" s="32" t="n">
        <x:v>162</x:v>
      </x:c>
      <x:c r="K175" s="29" t="str">
        <x:v>Da reperire un VFX distinto; l’eventuale effetto generico nel gioco non conta come assegnazione.</x:v>
      </x:c>
      <x:c r="L175" s="29" t="str"/>
    </x:row>
    <x:row r="176" ht="46" customHeight="1">
      <x:c r="A176" s="22" t="n">
        <x:v>163</x:v>
      </x:c>
      <x:c r="B176" s="19" t="str">
        <x:v>Assalto Marziano</x:v>
      </x:c>
      <x:c r="C176" s="19" t="str">
        <x:v>Normale</x:v>
      </x:c>
      <x:c r="D176" s="33" t="str">
        <x:v>Media</x:v>
      </x:c>
      <x:c r="E176" s="19" t="str">
        <x:v>Cerebron #83</x:v>
      </x:c>
      <x:c r="F176" s="34" t="str"/>
      <x:c r="G176" s="34" t="str">
        <x:v>Da creare</x:v>
      </x:c>
      <x:c r="H176" s="24" t="str"/>
      <x:c r="I176" s="25"/>
      <x:c r="J176" s="26" t="n">
        <x:v>163</x:v>
      </x:c>
      <x:c r="K176" s="19" t="str">
        <x:v>Da reperire un VFX distinto; l’eventuale effetto generico nel gioco non conta come assegnazione.</x:v>
      </x:c>
      <x:c r="L176" s="19" t="str"/>
    </x:row>
    <x:row r="177" ht="46" customHeight="1">
      <x:c r="A177" s="28" t="n">
        <x:v>164</x:v>
      </x:c>
      <x:c r="B177" s="29" t="str">
        <x:v>Canto del Crepuscolo</x:v>
      </x:c>
      <x:c r="C177" s="29" t="str">
        <x:v>Oscurità</x:v>
      </x:c>
      <x:c r="D177" s="27" t="str">
        <x:v>Leggera</x:v>
      </x:c>
      <x:c r="E177" s="29" t="str">
        <x:v>Piox #65</x:v>
      </x:c>
      <x:c r="F177" s="34" t="str"/>
      <x:c r="G177" s="34" t="str">
        <x:v>Da creare</x:v>
      </x:c>
      <x:c r="H177" s="30" t="str"/>
      <x:c r="I177" s="31"/>
      <x:c r="J177" s="32" t="n">
        <x:v>164</x:v>
      </x:c>
      <x:c r="K177" s="29" t="str">
        <x:v>Da reperire un VFX distinto; l’eventuale effetto generico nel gioco non conta come assegnazione.</x:v>
      </x:c>
      <x:c r="L177" s="29" t="str"/>
    </x:row>
    <x:row r="178" ht="46" customHeight="1">
      <x:c r="A178" s="22" t="n">
        <x:v>165</x:v>
      </x:c>
      <x:c r="B178" s="19" t="str">
        <x:v>Tocco Ghiacciato</x:v>
      </x:c>
      <x:c r="C178" s="19" t="str">
        <x:v>Acqua</x:v>
      </x:c>
      <x:c r="D178" s="27" t="str">
        <x:v>Leggera</x:v>
      </x:c>
      <x:c r="E178" s="19" t="str">
        <x:v>Felyss #9</x:v>
      </x:c>
      <x:c r="F178" s="34" t="str"/>
      <x:c r="G178" s="34" t="str">
        <x:v>Da creare</x:v>
      </x:c>
      <x:c r="H178" s="24" t="str"/>
      <x:c r="I178" s="25"/>
      <x:c r="J178" s="26" t="n">
        <x:v>165</x:v>
      </x:c>
      <x:c r="K178" s="19" t="str">
        <x:v>Da reperire un VFX distinto; l’eventuale effetto generico nel gioco non conta come assegnazione.</x:v>
      </x:c>
      <x:c r="L178" s="19" t="str"/>
    </x:row>
    <x:row r="179" ht="46" customHeight="1">
      <x:c r="A179" s="28" t="n">
        <x:v>166</x:v>
      </x:c>
      <x:c r="B179" s="29" t="str">
        <x:v>Squarcio Glaciale</x:v>
      </x:c>
      <x:c r="C179" s="29" t="str">
        <x:v>Acqua</x:v>
      </x:c>
      <x:c r="D179" s="33" t="str">
        <x:v>Media</x:v>
      </x:c>
      <x:c r="E179" s="29" t="str">
        <x:v>Felyss #10</x:v>
      </x:c>
      <x:c r="F179" s="29" t="str">
        <x:v>Flash Effect</x:v>
      </x:c>
      <x:c r="G179" s="29" t="str">
        <x:v>Proposta</x:v>
      </x:c>
      <x:c r="H179" s="30" t="str">
        <x:v>Bersaglio</x:v>
      </x:c>
      <x:c r="I179" s="31" t="n">
        <x:v>1</x:v>
      </x:c>
      <x:c r="J179" s="32" t="n">
        <x:v>166</x:v>
      </x:c>
      <x:c r="K179" s="29" t="str">
        <x:v>Proposta individuale basata su forma, colore e tema visivo; da verificare in anteprima.</x:v>
      </x:c>
      <x:c r="L179" s="29" t="str">
        <x:v>gif:flash-effect</x:v>
      </x:c>
    </x:row>
    <x:row r="180" ht="46" customHeight="1">
      <x:c r="A180" s="22" t="n">
        <x:v>167</x:v>
      </x:c>
      <x:c r="B180" s="19" t="str">
        <x:v>Fredda Illusione</x:v>
      </x:c>
      <x:c r="C180" s="19" t="str">
        <x:v>Acqua</x:v>
      </x:c>
      <x:c r="D180" s="33" t="str">
        <x:v>Media</x:v>
      </x:c>
      <x:c r="E180" s="19" t="str">
        <x:v>Felyss #11</x:v>
      </x:c>
      <x:c r="F180" s="34" t="str"/>
      <x:c r="G180" s="34" t="str">
        <x:v>Da creare</x:v>
      </x:c>
      <x:c r="H180" s="24" t="str"/>
      <x:c r="I180" s="25"/>
      <x:c r="J180" s="26" t="n">
        <x:v>167</x:v>
      </x:c>
      <x:c r="K180" s="19" t="str">
        <x:v>Da reperire un VFX distinto; l’eventuale effetto generico nel gioco non conta come assegnazione.</x:v>
      </x:c>
      <x:c r="L180" s="19" t="str"/>
    </x:row>
    <x:row r="181" ht="46" customHeight="1">
      <x:c r="A181" s="28" t="n">
        <x:v>168</x:v>
      </x:c>
      <x:c r="B181" s="29" t="str">
        <x:v>Bora Eterea</x:v>
      </x:c>
      <x:c r="C181" s="29" t="str">
        <x:v>Acqua</x:v>
      </x:c>
      <x:c r="D181" s="36" t="str">
        <x:v>Forte</x:v>
      </x:c>
      <x:c r="E181" s="29" t="str">
        <x:v>Felyss #12</x:v>
      </x:c>
      <x:c r="F181" s="29" t="str">
        <x:v>BasicEff.Img JobChangedAranFront</x:v>
      </x:c>
      <x:c r="G181" s="29" t="str">
        <x:v>Proposta</x:v>
      </x:c>
      <x:c r="H181" s="30" t="str">
        <x:v>Bersaglio</x:v>
      </x:c>
      <x:c r="I181" s="31" t="n">
        <x:v>1</x:v>
      </x:c>
      <x:c r="J181" s="32" t="n">
        <x:v>168</x:v>
      </x:c>
      <x:c r="K181" s="29" t="str">
        <x:v>Proposta individuale basata su forma, colore e tema visivo; da verificare in anteprima.</x:v>
      </x:c>
      <x:c r="L181" s="29" t="str">
        <x:v>generated:basiceff-img_jobchangedaranfront-images_nested_sheet</x:v>
      </x:c>
    </x:row>
    <x:row r="182" ht="46" customHeight="1">
      <x:c r="A182" s="22" t="n">
        <x:v>169</x:v>
      </x:c>
      <x:c r="B182" s="19" t="str">
        <x:v>Ronzio Psichico</x:v>
      </x:c>
      <x:c r="C182" s="19" t="str">
        <x:v>Psico</x:v>
      </x:c>
      <x:c r="D182" s="27" t="str">
        <x:v>Leggera</x:v>
      </x:c>
      <x:c r="E182" s="19" t="str">
        <x:v>Beestrix #95</x:v>
      </x:c>
      <x:c r="F182" s="19" t="str">
        <x:v>Psychic</x:v>
      </x:c>
      <x:c r="G182" s="19" t="str">
        <x:v>Proposta</x:v>
      </x:c>
      <x:c r="H182" s="24" t="str">
        <x:v>Bersaglio</x:v>
      </x:c>
      <x:c r="I182" s="25" t="n">
        <x:v>1</x:v>
      </x:c>
      <x:c r="J182" s="26" t="n">
        <x:v>169</x:v>
      </x:c>
      <x:c r="K182" s="19" t="str">
        <x:v>Proposta individuale basata su forma, colore e tema visivo; da verificare in anteprima.</x:v>
      </x:c>
      <x:c r="L182" s="19" t="str">
        <x:v>psychicGif</x:v>
      </x:c>
    </x:row>
    <x:row r="183" ht="46" customHeight="1">
      <x:c r="A183" s="28" t="n">
        <x:v>170</x:v>
      </x:c>
      <x:c r="B183" s="29" t="str">
        <x:v>Sciame Mentale</x:v>
      </x:c>
      <x:c r="C183" s="29" t="str">
        <x:v>Psico</x:v>
      </x:c>
      <x:c r="D183" s="33" t="str">
        <x:v>Media</x:v>
      </x:c>
      <x:c r="E183" s="29" t="str">
        <x:v>Beestrix #96</x:v>
      </x:c>
      <x:c r="F183" s="34" t="str"/>
      <x:c r="G183" s="34" t="str">
        <x:v>Da creare</x:v>
      </x:c>
      <x:c r="H183" s="30" t="str"/>
      <x:c r="I183" s="31"/>
      <x:c r="J183" s="32" t="n">
        <x:v>170</x:v>
      </x:c>
      <x:c r="K183" s="29" t="str">
        <x:v>Da reperire un VFX distinto; l’eventuale effetto generico nel gioco non conta come assegnazione.</x:v>
      </x:c>
      <x:c r="L183" s="29" t="str"/>
    </x:row>
    <x:row r="184" ht="46" customHeight="1">
      <x:c r="A184" s="22" t="n">
        <x:v>171</x:v>
      </x:c>
      <x:c r="B184" s="19" t="str">
        <x:v>Organizzazione Psionica</x:v>
      </x:c>
      <x:c r="C184" s="19" t="str">
        <x:v>Psico</x:v>
      </x:c>
      <x:c r="D184" s="36" t="str">
        <x:v>Forte</x:v>
      </x:c>
      <x:c r="E184" s="19" t="str">
        <x:v>Beestrix #97</x:v>
      </x:c>
      <x:c r="F184" s="19" t="str">
        <x:v>HighMountain.Img Effect FeverTime</x:v>
      </x:c>
      <x:c r="G184" s="19" t="str">
        <x:v>Proposta</x:v>
      </x:c>
      <x:c r="H184" s="24" t="str">
        <x:v>Bersaglio</x:v>
      </x:c>
      <x:c r="I184" s="25" t="n">
        <x:v>1</x:v>
      </x:c>
      <x:c r="J184" s="26" t="n">
        <x:v>171</x:v>
      </x:c>
      <x:c r="K184" s="19" t="str">
        <x:v>Proposta individuale basata su forma, colore e tema visivo; da verificare in anteprima.</x:v>
      </x:c>
      <x:c r="L184" s="19" t="str">
        <x:v>generated:highmountain-img_effect_fevertime-images_nested_sheet</x:v>
      </x:c>
    </x:row>
    <x:row r="185" ht="46" customHeight="1">
      <x:c r="A185" s="28" t="n">
        <x:v>172</x:v>
      </x:c>
      <x:c r="B185" s="29" t="str">
        <x:v>Aspirafuoco</x:v>
      </x:c>
      <x:c r="C185" s="29" t="str">
        <x:v>Fuoco</x:v>
      </x:c>
      <x:c r="D185" s="27" t="str">
        <x:v>Leggera</x:v>
      </x:c>
      <x:c r="E185" s="29" t="str">
        <x:v>Cellgon #79</x:v>
      </x:c>
      <x:c r="F185" s="34" t="str"/>
      <x:c r="G185" s="34" t="str">
        <x:v>Da creare</x:v>
      </x:c>
      <x:c r="H185" s="30" t="str"/>
      <x:c r="I185" s="31"/>
      <x:c r="J185" s="32" t="n">
        <x:v>172</x:v>
      </x:c>
      <x:c r="K185" s="29" t="str">
        <x:v>Da reperire un VFX distinto; l’eventuale effetto generico nel gioco non conta come assegnazione.</x:v>
      </x:c>
      <x:c r="L185" s="29" t="str"/>
    </x:row>
    <x:row r="186" ht="46" customHeight="1">
      <x:c r="A186" s="22" t="n">
        <x:v>173</x:v>
      </x:c>
      <x:c r="B186" s="19" t="str">
        <x:v>Aura Incandescente</x:v>
      </x:c>
      <x:c r="C186" s="19" t="str">
        <x:v>Fuoco</x:v>
      </x:c>
      <x:c r="D186" s="33" t="str">
        <x:v>Media</x:v>
      </x:c>
      <x:c r="E186" s="19" t="str">
        <x:v>Cellgon #80</x:v>
      </x:c>
      <x:c r="F186" s="19" t="str">
        <x:v>HighMountain.Img Effect Mitra Aura B 2</x:v>
      </x:c>
      <x:c r="G186" s="19" t="str">
        <x:v>Proposta</x:v>
      </x:c>
      <x:c r="H186" s="24" t="str">
        <x:v>Bersaglio</x:v>
      </x:c>
      <x:c r="I186" s="25" t="n">
        <x:v>1</x:v>
      </x:c>
      <x:c r="J186" s="26" t="n">
        <x:v>173</x:v>
      </x:c>
      <x:c r="K186" s="19" t="str">
        <x:v>Proposta individuale basata su forma, colore e tema visivo; da verificare in anteprima.</x:v>
      </x:c>
      <x:c r="L186" s="19" t="str">
        <x:v>generated:highmountain-img_effect_mitra_aura_b_2-images_nested_sheet</x:v>
      </x:c>
    </x:row>
    <x:row r="187" ht="46" customHeight="1">
      <x:c r="A187" s="28" t="n">
        <x:v>174</x:v>
      </x:c>
      <x:c r="B187" s="29" t="str">
        <x:v>Cannone Infernale</x:v>
      </x:c>
      <x:c r="C187" s="29" t="str">
        <x:v>Fuoco</x:v>
      </x:c>
      <x:c r="D187" s="36" t="str">
        <x:v>Forte</x:v>
      </x:c>
      <x:c r="E187" s="29" t="str">
        <x:v>Cellgon #81</x:v>
      </x:c>
      <x:c r="F187" s="29" t="str">
        <x:v>Fire Wave</x:v>
      </x:c>
      <x:c r="G187" s="29" t="str">
        <x:v>Proposta</x:v>
      </x:c>
      <x:c r="H187" s="30" t="str">
        <x:v>Centro</x:v>
      </x:c>
      <x:c r="I187" s="31" t="n">
        <x:v>1</x:v>
      </x:c>
      <x:c r="J187" s="32" t="n">
        <x:v>174</x:v>
      </x:c>
      <x:c r="K187" s="29" t="str">
        <x:v>Proposta individuale basata su forma, colore e tema visivo; da verificare in anteprima.</x:v>
      </x:c>
      <x:c r="L187" s="29" t="str">
        <x:v>fireWaveGif</x:v>
      </x:c>
    </x:row>
    <x:row r="188" ht="46" customHeight="1">
      <x:c r="A188" s="22" t="n">
        <x:v>175</x:v>
      </x:c>
      <x:c r="B188" s="19" t="str">
        <x:v>Spruzzata di Foglie</x:v>
      </x:c>
      <x:c r="C188" s="19" t="str">
        <x:v>Acqua</x:v>
      </x:c>
      <x:c r="D188" s="27" t="str">
        <x:v>Leggera</x:v>
      </x:c>
      <x:c r="E188" s="19" t="str">
        <x:v>Leafrex #52</x:v>
      </x:c>
      <x:c r="F188" s="34" t="str"/>
      <x:c r="G188" s="34" t="str">
        <x:v>Da creare</x:v>
      </x:c>
      <x:c r="H188" s="24" t="str"/>
      <x:c r="I188" s="25"/>
      <x:c r="J188" s="26" t="n">
        <x:v>175</x:v>
      </x:c>
      <x:c r="K188" s="19" t="str">
        <x:v>Da reperire un VFX distinto; l’eventuale effetto generico nel gioco non conta come assegnazione.</x:v>
      </x:c>
      <x:c r="L188" s="19" t="str"/>
    </x:row>
    <x:row r="189" ht="46" customHeight="1">
      <x:c r="A189" s="28" t="n">
        <x:v>176</x:v>
      </x:c>
      <x:c r="B189" s="29" t="str">
        <x:v>Spirale Umida</x:v>
      </x:c>
      <x:c r="C189" s="29" t="str">
        <x:v>Acqua</x:v>
      </x:c>
      <x:c r="D189" s="33" t="str">
        <x:v>Media</x:v>
      </x:c>
      <x:c r="E189" s="29" t="str">
        <x:v>Leafrex #53</x:v>
      </x:c>
      <x:c r="F189" s="34" t="str"/>
      <x:c r="G189" s="34" t="str">
        <x:v>Da creare</x:v>
      </x:c>
      <x:c r="H189" s="30" t="str"/>
      <x:c r="I189" s="31"/>
      <x:c r="J189" s="32" t="n">
        <x:v>176</x:v>
      </x:c>
      <x:c r="K189" s="29" t="str">
        <x:v>Da reperire un VFX distinto; l’eventuale effetto generico nel gioco non conta come assegnazione.</x:v>
      </x:c>
      <x:c r="L189" s="29" t="str"/>
    </x:row>
    <x:row r="190" ht="46" customHeight="1">
      <x:c r="A190" s="22" t="n">
        <x:v>177</x:v>
      </x:c>
      <x:c r="B190" s="19" t="str">
        <x:v>Alluvione di Germogli</x:v>
      </x:c>
      <x:c r="C190" s="19" t="str">
        <x:v>Acqua</x:v>
      </x:c>
      <x:c r="D190" s="36" t="str">
        <x:v>Forte</x:v>
      </x:c>
      <x:c r="E190" s="19" t="str">
        <x:v>Leafrex #54</x:v>
      </x:c>
      <x:c r="F190" s="19" t="str">
        <x:v>A1becbd5b329954a2063f352beceef35</x:v>
      </x:c>
      <x:c r="G190" s="38" t="str">
        <x:v>Da adattare</x:v>
      </x:c>
      <x:c r="H190" s="24" t="str">
        <x:v>Bersaglio</x:v>
      </x:c>
      <x:c r="I190" s="25" t="n">
        <x:v>1</x:v>
      </x:c>
      <x:c r="J190" s="26" t="n">
        <x:v>177</x:v>
      </x:c>
      <x:c r="K190" s="19" t="str">
        <x:v>GIF con sfondo nero e watermark: il blend screen attenua il nero, ma occorre ripulire il watermark.</x:v>
      </x:c>
      <x:c r="L190" s="19" t="str">
        <x:v>gif:a1becbd5b329954a2063f352beceef35</x:v>
      </x:c>
    </x:row>
    <x:row r="191" ht="46" customHeight="1">
      <x:c r="A191" s="28" t="n">
        <x:v>178</x:v>
      </x:c>
      <x:c r="B191" s="29" t="str">
        <x:v>Scintilla Lunare</x:v>
      </x:c>
      <x:c r="C191" s="29" t="str">
        <x:v>Fuoco</x:v>
      </x:c>
      <x:c r="D191" s="27" t="str">
        <x:v>Leggera</x:v>
      </x:c>
      <x:c r="E191" s="29" t="str">
        <x:v>Eclyps #30</x:v>
      </x:c>
      <x:c r="F191" s="29" t="str">
        <x:v>HighMountain.Img MitraFlare Create</x:v>
      </x:c>
      <x:c r="G191" s="29" t="str">
        <x:v>Proposta</x:v>
      </x:c>
      <x:c r="H191" s="30" t="str">
        <x:v>Bersaglio</x:v>
      </x:c>
      <x:c r="I191" s="31" t="n">
        <x:v>1</x:v>
      </x:c>
      <x:c r="J191" s="32" t="n">
        <x:v>178</x:v>
      </x:c>
      <x:c r="K191" s="29" t="str">
        <x:v>Proposta individuale basata su forma, colore e tema visivo; da verificare in anteprima.</x:v>
      </x:c>
      <x:c r="L191" s="29" t="str">
        <x:v>generated:highmountain-img_mitraflare_create-images_nested_sheet</x:v>
      </x:c>
    </x:row>
    <x:row r="192" ht="46" customHeight="1">
      <x:c r="A192" s="22" t="n">
        <x:v>179</x:v>
      </x:c>
      <x:c r="B192" s="19" t="str">
        <x:v>Eclissi Infuocata</x:v>
      </x:c>
      <x:c r="C192" s="19" t="str">
        <x:v>Fuoco</x:v>
      </x:c>
      <x:c r="D192" s="33" t="str">
        <x:v>Media</x:v>
      </x:c>
      <x:c r="E192" s="19" t="str">
        <x:v>Eclyps #31</x:v>
      </x:c>
      <x:c r="F192" s="19" t="str">
        <x:v>Original Baae4227ed011e0ee13945cc78228deb</x:v>
      </x:c>
      <x:c r="G192" s="38" t="str">
        <x:v>Da adattare</x:v>
      </x:c>
      <x:c r="H192" s="24" t="str">
        <x:v>Centro</x:v>
      </x:c>
      <x:c r="I192" s="25" t="n">
        <x:v>1</x:v>
      </x:c>
      <x:c r="J192" s="26" t="n">
        <x:v>179</x:v>
      </x:c>
      <x:c r="K192" s="19" t="str">
        <x:v>La GIF contiene un fondale a gradiente: isolare l’orbita luminosa.</x:v>
      </x:c>
      <x:c r="L192" s="19" t="str">
        <x:v>gif:original-baae4227ed011e0ee13945cc78228deb</x:v>
      </x:c>
    </x:row>
    <x:row r="193" ht="46" customHeight="1">
      <x:c r="A193" s="28" t="n">
        <x:v>180</x:v>
      </x:c>
      <x:c r="B193" s="29" t="str">
        <x:v>Puntura veloce</x:v>
      </x:c>
      <x:c r="C193" s="29" t="str">
        <x:v>Normale</x:v>
      </x:c>
      <x:c r="D193" s="27" t="str">
        <x:v>Leggera</x:v>
      </x:c>
      <x:c r="E193" s="29" t="str">
        <x:v>Zoorian #105</x:v>
      </x:c>
      <x:c r="F193" s="29" t="str">
        <x:v>Direction1.Img Effect Skill OverSwingDouble 0</x:v>
      </x:c>
      <x:c r="G193" s="37" t="str">
        <x:v>Calibrazione confermata</x:v>
      </x:c>
      <x:c r="H193" s="30" t="str">
        <x:v>Bersaglio</x:v>
      </x:c>
      <x:c r="I193" s="31" t="n">
        <x:v>1</x:v>
      </x:c>
      <x:c r="J193" s="32" t="n">
        <x:v>180</x:v>
      </x:c>
      <x:c r="K193" s="29" t="str">
        <x:v>Calibrazione confermata dall’utente; assegnazione individuale secondo il colore del moveset.</x:v>
      </x:c>
      <x:c r="L193" s="29" t="str">
        <x:v>generated:direction1-img_effect_skill_overswingdouble_0-images_nested_sheet</x:v>
      </x:c>
    </x:row>
    <x:row r="194" ht="46" customHeight="1">
      <x:c r="A194" s="22" t="n">
        <x:v>181</x:v>
      </x:c>
      <x:c r="B194" s="19" t="str">
        <x:v>Danza del pungiglione</x:v>
      </x:c>
      <x:c r="C194" s="19" t="str">
        <x:v>Normale</x:v>
      </x:c>
      <x:c r="D194" s="33" t="str">
        <x:v>Media</x:v>
      </x:c>
      <x:c r="E194" s="19" t="str">
        <x:v>Zoorian #106</x:v>
      </x:c>
      <x:c r="F194" s="34" t="str"/>
      <x:c r="G194" s="34" t="str">
        <x:v>Da creare</x:v>
      </x:c>
      <x:c r="H194" s="24" t="str"/>
      <x:c r="I194" s="25"/>
      <x:c r="J194" s="26" t="n">
        <x:v>181</x:v>
      </x:c>
      <x:c r="K194" s="19" t="str">
        <x:v>Da reperire un VFX distinto; l’eventuale effetto generico nel gioco non conta come assegnazione.</x:v>
      </x:c>
      <x:c r="L194" s="19" t="str"/>
    </x:row>
    <x:row r="195" ht="46" customHeight="1">
      <x:c r="A195" s="28" t="n">
        <x:v>182</x:v>
      </x:c>
      <x:c r="B195" s="29" t="str">
        <x:v>Colpo di Liana</x:v>
      </x:c>
      <x:c r="C195" s="29" t="str">
        <x:v>Normale</x:v>
      </x:c>
      <x:c r="D195" s="27" t="str">
        <x:v>Leggera</x:v>
      </x:c>
      <x:c r="E195" s="29" t="str">
        <x:v>Weedrug #47</x:v>
      </x:c>
      <x:c r="F195" s="29" t="str">
        <x:v>BasicEff.Img TJRJump</x:v>
      </x:c>
      <x:c r="G195" s="37" t="str">
        <x:v>Calibrazione confermata</x:v>
      </x:c>
      <x:c r="H195" s="30" t="str">
        <x:v>Bersaglio</x:v>
      </x:c>
      <x:c r="I195" s="31" t="n">
        <x:v>1</x:v>
      </x:c>
      <x:c r="J195" s="32" t="n">
        <x:v>182</x:v>
      </x:c>
      <x:c r="K195" s="29" t="str">
        <x:v>Calibrazione confermata dall’utente; assegnazione individuale secondo il colore del moveset.</x:v>
      </x:c>
      <x:c r="L195" s="29" t="str">
        <x:v>generated:basiceff-img_tjrjump-images_nested_sheet</x:v>
      </x:c>
    </x:row>
    <x:row r="196" ht="46" customHeight="1">
      <x:c r="A196" s="22" t="n">
        <x:v>183</x:v>
      </x:c>
      <x:c r="B196" s="19" t="str">
        <x:v>Agguato Silvestre</x:v>
      </x:c>
      <x:c r="C196" s="19" t="str">
        <x:v>Normale</x:v>
      </x:c>
      <x:c r="D196" s="33" t="str">
        <x:v>Media</x:v>
      </x:c>
      <x:c r="E196" s="19" t="str">
        <x:v>Weedrug #48</x:v>
      </x:c>
      <x:c r="F196" s="19" t="str">
        <x:v>Lynn.Img Skill SneakAttackHit</x:v>
      </x:c>
      <x:c r="G196" s="19" t="str">
        <x:v>Proposta</x:v>
      </x:c>
      <x:c r="H196" s="24" t="str">
        <x:v>Bersaglio</x:v>
      </x:c>
      <x:c r="I196" s="25" t="n">
        <x:v>1</x:v>
      </x:c>
      <x:c r="J196" s="26" t="n">
        <x:v>183</x:v>
      </x:c>
      <x:c r="K196" s="19" t="str">
        <x:v>Proposta individuale basata su forma, colore e tema visivo; da verificare in anteprima.</x:v>
      </x:c>
      <x:c r="L196" s="19" t="str">
        <x:v>generated:lynn-img_skill_sneakattackhit-images_nested_sheet</x:v>
      </x:c>
    </x:row>
    <x:row r="197" ht="46" customHeight="1">
      <x:c r="A197" s="28" t="n">
        <x:v>184</x:v>
      </x:c>
      <x:c r="B197" s="29" t="str">
        <x:v>Ruggito fulminante</x:v>
      </x:c>
      <x:c r="C197" s="29" t="str">
        <x:v>Elettro</x:v>
      </x:c>
      <x:c r="D197" s="27" t="str">
        <x:v>Leggera</x:v>
      </x:c>
      <x:c r="E197" s="29" t="str">
        <x:v>Blazion #32</x:v>
      </x:c>
      <x:c r="F197" s="29" t="str">
        <x:v>Lightning</x:v>
      </x:c>
      <x:c r="G197" s="29" t="str">
        <x:v>Proposta</x:v>
      </x:c>
      <x:c r="H197" s="30" t="str">
        <x:v>Bersaglio</x:v>
      </x:c>
      <x:c r="I197" s="31" t="n">
        <x:v>1</x:v>
      </x:c>
      <x:c r="J197" s="32" t="n">
        <x:v>184</x:v>
      </x:c>
      <x:c r="K197" s="29" t="str">
        <x:v>Proposta individuale basata su forma, colore e tema visivo; da verificare in anteprima.</x:v>
      </x:c>
      <x:c r="L197" s="29" t="str">
        <x:v>lightningGif</x:v>
      </x:c>
    </x:row>
    <x:row r="198" ht="46" customHeight="1">
      <x:c r="A198" s="22" t="n">
        <x:v>185</x:v>
      </x:c>
      <x:c r="B198" s="19" t="str">
        <x:v>Tuono regale</x:v>
      </x:c>
      <x:c r="C198" s="19" t="str">
        <x:v>Elettro</x:v>
      </x:c>
      <x:c r="D198" s="36" t="str">
        <x:v>Forte</x:v>
      </x:c>
      <x:c r="E198" s="19" t="str">
        <x:v>Blazion #33</x:v>
      </x:c>
      <x:c r="F198" s="19" t="str">
        <x:v>HighMountain.Img Effect Tynus Lightning 2</x:v>
      </x:c>
      <x:c r="G198" s="37" t="str">
        <x:v>Calibrazione confermata</x:v>
      </x:c>
      <x:c r="H198" s="24" t="str">
        <x:v>Bersaglio</x:v>
      </x:c>
      <x:c r="I198" s="25" t="n">
        <x:v>1.5</x:v>
      </x:c>
      <x:c r="J198" s="26" t="n">
        <x:v>185</x:v>
      </x:c>
      <x:c r="K198" s="19" t="str">
        <x:v>Calibrazione confermata dall’utente; assegnazione individuale secondo il colore del moveset.</x:v>
      </x:c>
      <x:c r="L198" s="19" t="str">
        <x:v>generated:highmountain-img_effect_tynus_lightning_2-images_nested_sheet</x:v>
      </x:c>
    </x:row>
    <x:row r="199" ht="46" customHeight="1">
      <x:c r="A199" s="28" t="n">
        <x:v>186</x:v>
      </x:c>
      <x:c r="B199" s="29" t="str">
        <x:v>Braciere Profondo</x:v>
      </x:c>
      <x:c r="C199" s="29" t="str">
        <x:v>Fuoco</x:v>
      </x:c>
      <x:c r="D199" s="27" t="str">
        <x:v>Leggera</x:v>
      </x:c>
      <x:c r="E199" s="29" t="str">
        <x:v>Boomrock #103</x:v>
      </x:c>
      <x:c r="F199" s="34" t="str"/>
      <x:c r="G199" s="34" t="str">
        <x:v>Da creare</x:v>
      </x:c>
      <x:c r="H199" s="30" t="str"/>
      <x:c r="I199" s="31"/>
      <x:c r="J199" s="32" t="n">
        <x:v>186</x:v>
      </x:c>
      <x:c r="K199" s="29" t="str">
        <x:v>Da reperire un VFX distinto; l’eventuale effetto generico nel gioco non conta come assegnazione.</x:v>
      </x:c>
      <x:c r="L199" s="29" t="str"/>
    </x:row>
    <x:row r="200" ht="46" customHeight="1">
      <x:c r="A200" s="22" t="n">
        <x:v>187</x:v>
      </x:c>
      <x:c r="B200" s="19" t="str">
        <x:v>Fiamma Sotterranea</x:v>
      </x:c>
      <x:c r="C200" s="19" t="str">
        <x:v>Fuoco</x:v>
      </x:c>
      <x:c r="D200" s="33" t="str">
        <x:v>Media</x:v>
      </x:c>
      <x:c r="E200" s="19" t="str">
        <x:v>Boomrock #104</x:v>
      </x:c>
      <x:c r="F200" s="34" t="str"/>
      <x:c r="G200" s="34" t="str">
        <x:v>Da creare</x:v>
      </x:c>
      <x:c r="H200" s="24" t="str"/>
      <x:c r="I200" s="25"/>
      <x:c r="J200" s="26" t="n">
        <x:v>187</x:v>
      </x:c>
      <x:c r="K200" s="19" t="str">
        <x:v>Da reperire un VFX distinto; l’eventuale effetto generico nel gioco non conta come assegnazione.</x:v>
      </x:c>
      <x:c r="L200" s="19" t="str"/>
    </x:row>
    <x:row r="201" ht="46" customHeight="1">
      <x:c r="A201" s="28" t="n">
        <x:v>188</x:v>
      </x:c>
      <x:c r="B201" s="29" t="str">
        <x:v>Pulviscolo Ionizzate</x:v>
      </x:c>
      <x:c r="C201" s="29" t="str">
        <x:v>Elettro</x:v>
      </x:c>
      <x:c r="D201" s="36" t="str">
        <x:v>Forte</x:v>
      </x:c>
      <x:c r="E201" s="29" t="str">
        <x:v>Felvex #44</x:v>
      </x:c>
      <x:c r="F201" s="29" t="str">
        <x:v>Original 2a6067837a9439cdde80419cce37d493</x:v>
      </x:c>
      <x:c r="G201" s="38" t="str">
        <x:v>Da adattare</x:v>
      </x:c>
      <x:c r="H201" s="30" t="str">
        <x:v>Centro</x:v>
      </x:c>
      <x:c r="I201" s="31" t="n">
        <x:v>1</x:v>
      </x:c>
      <x:c r="J201" s="32" t="n">
        <x:v>188</x:v>
      </x:c>
      <x:c r="K201" s="29" t="str">
        <x:v>La GIF contiene un gradiente rosso: pulire lo sfondo prima dell’uso definitivo.</x:v>
      </x:c>
      <x:c r="L201" s="29" t="str">
        <x:v>gif:original-2a6067837a9439cdde80419cce37d493</x:v>
      </x:c>
    </x:row>
    <x:row r="202" ht="46" customHeight="1">
      <x:c r="A202" s="22" t="n">
        <x:v>189</x:v>
      </x:c>
      <x:c r="B202" s="19" t="str">
        <x:v>Gemma Smeraldina</x:v>
      </x:c>
      <x:c r="C202" s="19" t="str">
        <x:v>Erba</x:v>
      </x:c>
      <x:c r="D202" s="27" t="str">
        <x:v>Leggera</x:v>
      </x:c>
      <x:c r="E202" s="19" t="str">
        <x:v>Hopz #64</x:v>
      </x:c>
      <x:c r="F202" s="19" t="str">
        <x:v>PvPEff.Img Die PVPA1 Die</x:v>
      </x:c>
      <x:c r="G202" s="19" t="str">
        <x:v>Proposta</x:v>
      </x:c>
      <x:c r="H202" s="24" t="str">
        <x:v>Bersaglio</x:v>
      </x:c>
      <x:c r="I202" s="25" t="n">
        <x:v>1</x:v>
      </x:c>
      <x:c r="J202" s="26" t="n">
        <x:v>189</x:v>
      </x:c>
      <x:c r="K202" s="19" t="str">
        <x:v>Proposta individuale basata su forma, colore e tema visivo; da verificare in anteprima.</x:v>
      </x:c>
      <x:c r="L202" s="19" t="str">
        <x:v>generated:pvpeff-img_die_pvpa1_die-images_nested_sheet</x:v>
      </x:c>
    </x:row>
    <x:row r="203" ht="46" customHeight="1">
      <x:c r="A203" s="28" t="n">
        <x:v>190</x:v>
      </x:c>
      <x:c r="B203" s="29" t="str">
        <x:v>Abbraccio Traballante</x:v>
      </x:c>
      <x:c r="C203" s="29" t="str">
        <x:v>Erba</x:v>
      </x:c>
      <x:c r="D203" s="27" t="str">
        <x:v>Leggera</x:v>
      </x:c>
      <x:c r="E203" s="29" t="str">
        <x:v>Handipus #20</x:v>
      </x:c>
      <x:c r="F203" s="29" t="str">
        <x:v>PvPEff.Img Die PVPA10 Die</x:v>
      </x:c>
      <x:c r="G203" s="29" t="str">
        <x:v>Proposta</x:v>
      </x:c>
      <x:c r="H203" s="30" t="str">
        <x:v>Bersaglio</x:v>
      </x:c>
      <x:c r="I203" s="31" t="n">
        <x:v>1</x:v>
      </x:c>
      <x:c r="J203" s="32" t="n">
        <x:v>190</x:v>
      </x:c>
      <x:c r="K203" s="29" t="str">
        <x:v>Proposta individuale basata su forma, colore e tema visivo; da verificare in anteprima.</x:v>
      </x:c>
      <x:c r="L203" s="29" t="str">
        <x:v>generated:pvpeff-img_die_pvpa10_die-images_nested_sheet</x:v>
      </x:c>
    </x:row>
    <x:row r="204" ht="46" customHeight="1">
      <x:c r="A204" s="22" t="n">
        <x:v>191</x:v>
      </x:c>
      <x:c r="B204" s="19" t="str">
        <x:v>Surriscaldamento</x:v>
      </x:c>
      <x:c r="C204" s="19" t="str">
        <x:v>Elettro</x:v>
      </x:c>
      <x:c r="D204" s="33" t="str">
        <x:v>Media</x:v>
      </x:c>
      <x:c r="E204" s="19" t="str">
        <x:v>Ignitor #77</x:v>
      </x:c>
      <x:c r="F204" s="19" t="str">
        <x:v>Dmitry Sarkisov Ezgif 3 F01075eaae7b</x:v>
      </x:c>
      <x:c r="G204" s="38" t="str">
        <x:v>Da adattare</x:v>
      </x:c>
      <x:c r="H204" s="24" t="str">
        <x:v>Centro</x:v>
      </x:c>
      <x:c r="I204" s="25" t="n">
        <x:v>1</x:v>
      </x:c>
      <x:c r="J204" s="26" t="n">
        <x:v>191</x:v>
      </x:c>
      <x:c r="K204" s="19" t="str">
        <x:v>La GIF contiene un fondale a gradiente: il blend screen non rende trasparente tutto lo sfondo.</x:v>
      </x:c>
      <x:c r="L204" s="19" t="str">
        <x:v>gif:dmitry-sarkisov-ezgif-3-f01075eaae7b</x:v>
      </x:c>
    </x:row>
    <x:row r="205" ht="46" customHeight="1">
      <x:c r="A205" s="28" t="n">
        <x:v>192</x:v>
      </x:c>
      <x:c r="B205" s="29" t="str">
        <x:v>Scottatura</x:v>
      </x:c>
      <x:c r="C205" s="29" t="str">
        <x:v>Fuoco</x:v>
      </x:c>
      <x:c r="D205" s="27" t="str">
        <x:v>Leggera</x:v>
      </x:c>
      <x:c r="E205" s="29" t="str">
        <x:v>Wormaren #13</x:v>
      </x:c>
      <x:c r="F205" s="29" t="str">
        <x:v>Fire Pulse</x:v>
      </x:c>
      <x:c r="G205" s="29" t="str">
        <x:v>Proposta</x:v>
      </x:c>
      <x:c r="H205" s="30" t="str">
        <x:v>Bersaglio</x:v>
      </x:c>
      <x:c r="I205" s="31" t="n">
        <x:v>1</x:v>
      </x:c>
      <x:c r="J205" s="32" t="n">
        <x:v>192</x:v>
      </x:c>
      <x:c r="K205" s="29" t="str">
        <x:v>Proposta individuale basata su forma, colore e tema visivo; da verificare in anteprima.</x:v>
      </x:c>
      <x:c r="L205" s="29" t="str">
        <x:v>firePulseGif</x:v>
      </x:c>
    </x:row>
    <x:row r="206" ht="46" customHeight="1">
      <x:c r="A206" s="22" t="n">
        <x:v>193</x:v>
      </x:c>
      <x:c r="B206" s="19" t="str">
        <x:v>Sabbia Ardente</x:v>
      </x:c>
      <x:c r="C206" s="19" t="str">
        <x:v>Fuoco</x:v>
      </x:c>
      <x:c r="D206" s="33" t="str">
        <x:v>Media</x:v>
      </x:c>
      <x:c r="E206" s="19" t="str">
        <x:v>Wormaren #14</x:v>
      </x:c>
      <x:c r="F206" s="34" t="str"/>
      <x:c r="G206" s="34" t="str">
        <x:v>Da creare</x:v>
      </x:c>
      <x:c r="H206" s="24" t="str"/>
      <x:c r="I206" s="25"/>
      <x:c r="J206" s="26" t="n">
        <x:v>193</x:v>
      </x:c>
      <x:c r="K206" s="19" t="str">
        <x:v>Da reperire un VFX distinto; l’eventuale effetto generico nel gioco non conta come assegnazione.</x:v>
      </x:c>
      <x:c r="L206" s="19" t="str"/>
    </x:row>
    <x:row r="207" ht="46" customHeight="1">
      <x:c r="A207" s="28" t="n">
        <x:v>194</x:v>
      </x:c>
      <x:c r="B207" s="29" t="str">
        <x:v>Tornado di Fuoco e Sabbia</x:v>
      </x:c>
      <x:c r="C207" s="29" t="str">
        <x:v>Fuoco</x:v>
      </x:c>
      <x:c r="D207" s="36" t="str">
        <x:v>Forte</x:v>
      </x:c>
      <x:c r="E207" s="29" t="str">
        <x:v>Wormaren #15</x:v>
      </x:c>
      <x:c r="F207" s="29" t="str">
        <x:v>Typhoon Effect</x:v>
      </x:c>
      <x:c r="G207" s="29" t="str">
        <x:v>Proposta</x:v>
      </x:c>
      <x:c r="H207" s="30" t="str">
        <x:v>Bersaglio</x:v>
      </x:c>
      <x:c r="I207" s="31" t="n">
        <x:v>1</x:v>
      </x:c>
      <x:c r="J207" s="32" t="n">
        <x:v>194</x:v>
      </x:c>
      <x:c r="K207" s="29" t="str">
        <x:v>Proposta individuale basata su forma, colore e tema visivo; da verificare in anteprima.</x:v>
      </x:c>
      <x:c r="L207" s="29" t="str">
        <x:v>gif:typhoon-effect</x:v>
      </x:c>
    </x:row>
    <x:row r="208" ht="46" customHeight="1">
      <x:c r="A208" s="22" t="n">
        <x:v>195</x:v>
      </x:c>
      <x:c r="B208" s="19" t="str">
        <x:v>Bruciatura Laser</x:v>
      </x:c>
      <x:c r="C208" s="19" t="str">
        <x:v>Fuoco</x:v>
      </x:c>
      <x:c r="D208" s="27" t="str">
        <x:v>Leggera</x:v>
      </x:c>
      <x:c r="E208" s="19" t="str">
        <x:v>RS-219 #39</x:v>
      </x:c>
      <x:c r="F208" s="19" t="str">
        <x:v>Fire Impact</x:v>
      </x:c>
      <x:c r="G208" s="19" t="str">
        <x:v>Proposta</x:v>
      </x:c>
      <x:c r="H208" s="24" t="str">
        <x:v>Bersaglio</x:v>
      </x:c>
      <x:c r="I208" s="25" t="n">
        <x:v>1</x:v>
      </x:c>
      <x:c r="J208" s="26" t="n">
        <x:v>195</x:v>
      </x:c>
      <x:c r="K208" s="19" t="str">
        <x:v>Proposta individuale basata su forma, colore e tema visivo; da verificare in anteprima.</x:v>
      </x:c>
      <x:c r="L208" s="19" t="str">
        <x:v>fireImpactGif</x:v>
      </x:c>
    </x:row>
    <x:row r="209" ht="46" customHeight="1">
      <x:c r="A209" s="28" t="n">
        <x:v>196</x:v>
      </x:c>
      <x:c r="B209" s="29" t="str">
        <x:v>Fiamma Futuristica</x:v>
      </x:c>
      <x:c r="C209" s="29" t="str">
        <x:v>Fuoco</x:v>
      </x:c>
      <x:c r="D209" s="33" t="str">
        <x:v>Media</x:v>
      </x:c>
      <x:c r="E209" s="29" t="str">
        <x:v>RS-219 #40</x:v>
      </x:c>
      <x:c r="F209" s="34" t="str"/>
      <x:c r="G209" s="34" t="str">
        <x:v>Da creare</x:v>
      </x:c>
      <x:c r="H209" s="30" t="str"/>
      <x:c r="I209" s="31"/>
      <x:c r="J209" s="32" t="n">
        <x:v>196</x:v>
      </x:c>
      <x:c r="K209" s="29" t="str">
        <x:v>Da reperire un VFX distinto; l’eventuale effetto generico nel gioco non conta come assegnazione.</x:v>
      </x:c>
      <x:c r="L209" s="29" t="str"/>
    </x:row>
    <x:row r="210" ht="46" customHeight="1">
      <x:c r="A210" s="22" t="n">
        <x:v>197</x:v>
      </x:c>
      <x:c r="B210" s="19" t="str">
        <x:v>Scarica Pulsar</x:v>
      </x:c>
      <x:c r="C210" s="19" t="str">
        <x:v>Fuoco</x:v>
      </x:c>
      <x:c r="D210" s="36" t="str">
        <x:v>Forte</x:v>
      </x:c>
      <x:c r="E210" s="19" t="str">
        <x:v>RS-219 #41</x:v>
      </x:c>
      <x:c r="F210" s="19" t="str">
        <x:v>AnglerCompany.Img SubBoss RailCannon Discharge</x:v>
      </x:c>
      <x:c r="G210" s="19" t="str">
        <x:v>Proposta</x:v>
      </x:c>
      <x:c r="H210" s="24" t="str">
        <x:v>Bersaglio</x:v>
      </x:c>
      <x:c r="I210" s="25" t="n">
        <x:v>1</x:v>
      </x:c>
      <x:c r="J210" s="26" t="n">
        <x:v>197</x:v>
      </x:c>
      <x:c r="K210" s="19" t="str">
        <x:v>Proposta individuale basata su forma, colore e tema visivo; da verificare in anteprima.</x:v>
      </x:c>
      <x:c r="L210" s="19" t="str">
        <x:v>generated:anglercompany-img_subboss_railcannon_discharge-images_nested_sheet</x:v>
      </x:c>
    </x:row>
    <x:row r="211" ht="46" customHeight="1">
      <x:c r="A211" s="28" t="n">
        <x:v>198</x:v>
      </x:c>
      <x:c r="B211" s="29" t="str">
        <x:v>Polvere Ardente</x:v>
      </x:c>
      <x:c r="C211" s="29" t="str">
        <x:v>Fuoco</x:v>
      </x:c>
      <x:c r="D211" s="27" t="str">
        <x:v>Leggera</x:v>
      </x:c>
      <x:c r="E211" s="29" t="str">
        <x:v>Espeiry #89</x:v>
      </x:c>
      <x:c r="F211" s="34" t="str"/>
      <x:c r="G211" s="34" t="str">
        <x:v>Da creare</x:v>
      </x:c>
      <x:c r="H211" s="30" t="str"/>
      <x:c r="I211" s="31"/>
      <x:c r="J211" s="32" t="n">
        <x:v>198</x:v>
      </x:c>
      <x:c r="K211" s="29" t="str">
        <x:v>Da reperire un VFX distinto; l’eventuale effetto generico nel gioco non conta come assegnazione.</x:v>
      </x:c>
      <x:c r="L211" s="29" t="str"/>
    </x:row>
    <x:row r="212" ht="46" customHeight="1">
      <x:c r="A212" s="22" t="n">
        <x:v>199</x:v>
      </x:c>
      <x:c r="B212" s="19" t="str">
        <x:v>Sfolgorio Magico</x:v>
      </x:c>
      <x:c r="C212" s="19" t="str">
        <x:v>Fuoco</x:v>
      </x:c>
      <x:c r="D212" s="33" t="str">
        <x:v>Media</x:v>
      </x:c>
      <x:c r="E212" s="19" t="str">
        <x:v>Espeiry #90</x:v>
      </x:c>
      <x:c r="F212" s="19" t="str">
        <x:v>BasicEff.Img Kaiser Transform3 E</x:v>
      </x:c>
      <x:c r="G212" s="19" t="str">
        <x:v>Proposta</x:v>
      </x:c>
      <x:c r="H212" s="24" t="str">
        <x:v>Bersaglio</x:v>
      </x:c>
      <x:c r="I212" s="25" t="n">
        <x:v>1</x:v>
      </x:c>
      <x:c r="J212" s="26" t="n">
        <x:v>199</x:v>
      </x:c>
      <x:c r="K212" s="19" t="str">
        <x:v>Proposta individuale basata su forma, colore e tema visivo; da verificare in anteprima.</x:v>
      </x:c>
      <x:c r="L212" s="19" t="str">
        <x:v>generated:basiceff-img_kaiser_transform3_e-images_nested_sheet</x:v>
      </x:c>
    </x:row>
    <x:row r="213" ht="46" customHeight="1">
      <x:c r="A213" s="28" t="n">
        <x:v>200</x:v>
      </x:c>
      <x:c r="B213" s="29" t="str">
        <x:v>Turbinio di Fuochi Fatui</x:v>
      </x:c>
      <x:c r="C213" s="29" t="str">
        <x:v>Fuoco</x:v>
      </x:c>
      <x:c r="D213" s="36" t="str">
        <x:v>Forte</x:v>
      </x:c>
      <x:c r="E213" s="29" t="str">
        <x:v>Espeiry #91</x:v>
      </x:c>
      <x:c r="F213" s="34" t="str"/>
      <x:c r="G213" s="34" t="str">
        <x:v>Da creare</x:v>
      </x:c>
      <x:c r="H213" s="30" t="str"/>
      <x:c r="I213" s="31"/>
      <x:c r="J213" s="32" t="n">
        <x:v>200</x:v>
      </x:c>
      <x:c r="K213" s="29" t="str">
        <x:v>Da reperire un VFX distinto; l’eventuale effetto generico nel gioco non conta come assegnazione.</x:v>
      </x:c>
      <x:c r="L213" s="29" t="str"/>
    </x:row>
    <x:row r="214" ht="46" customHeight="1">
      <x:c r="A214" s="22" t="n">
        <x:v>201</x:v>
      </x:c>
      <x:c r="B214" s="19" t="str">
        <x:v>Nuotata Inquietante</x:v>
      </x:c>
      <x:c r="C214" s="19" t="str">
        <x:v>Oscurità</x:v>
      </x:c>
      <x:c r="D214" s="27" t="str">
        <x:v>Leggera</x:v>
      </x:c>
      <x:c r="E214" s="19" t="str">
        <x:v>Shabyss #58</x:v>
      </x:c>
      <x:c r="F214" s="34" t="str"/>
      <x:c r="G214" s="34" t="str">
        <x:v>Da creare</x:v>
      </x:c>
      <x:c r="H214" s="24" t="str"/>
      <x:c r="I214" s="25"/>
      <x:c r="J214" s="26" t="n">
        <x:v>201</x:v>
      </x:c>
      <x:c r="K214" s="19" t="str">
        <x:v>Da reperire un VFX distinto; l’eventuale effetto generico nel gioco non conta come assegnazione.</x:v>
      </x:c>
      <x:c r="L214" s="19" t="str"/>
    </x:row>
    <x:row r="215" ht="46" customHeight="1">
      <x:c r="A215" s="28" t="n">
        <x:v>202</x:v>
      </x:c>
      <x:c r="B215" s="29" t="str">
        <x:v>Squalo Ombra</x:v>
      </x:c>
      <x:c r="C215" s="29" t="str">
        <x:v>Oscurità</x:v>
      </x:c>
      <x:c r="D215" s="33" t="str">
        <x:v>Media</x:v>
      </x:c>
      <x:c r="E215" s="29" t="str">
        <x:v>Shabyss #59</x:v>
      </x:c>
      <x:c r="F215" s="29" t="str">
        <x:v>Annihilate Effect</x:v>
      </x:c>
      <x:c r="G215" s="38" t="str">
        <x:v>Da adattare</x:v>
      </x:c>
      <x:c r="H215" s="30" t="str">
        <x:v>Bersaglio</x:v>
      </x:c>
      <x:c r="I215" s="31" t="n">
        <x:v>1</x:v>
      </x:c>
      <x:c r="J215" s="32" t="n">
        <x:v>202</x:v>
      </x:c>
      <x:c r="K215" s="29" t="str">
        <x:v>Contiene una creatura riconoscibile: rendere la sagoma coerente con Squalo Ombra o rimuoverla.</x:v>
      </x:c>
      <x:c r="L215" s="29" t="str">
        <x:v>gif:annihilate-effect</x:v>
      </x:c>
    </x:row>
    <x:row r="216" ht="46" customHeight="1">
      <x:c r="A216" s="22" t="n">
        <x:v>203</x:v>
      </x:c>
      <x:c r="B216" s="19" t="str">
        <x:v>Fauci dell'abisso</x:v>
      </x:c>
      <x:c r="C216" s="19" t="str">
        <x:v>Oscurità</x:v>
      </x:c>
      <x:c r="D216" s="36" t="str">
        <x:v>Forte</x:v>
      </x:c>
      <x:c r="E216" s="19" t="str">
        <x:v>Shabyss #60</x:v>
      </x:c>
      <x:c r="F216" s="34" t="str"/>
      <x:c r="G216" s="34" t="str">
        <x:v>Da creare</x:v>
      </x:c>
      <x:c r="H216" s="24" t="str"/>
      <x:c r="I216" s="25"/>
      <x:c r="J216" s="26" t="n">
        <x:v>203</x:v>
      </x:c>
      <x:c r="K216" s="19" t="str">
        <x:v>Da reperire un VFX distinto; l’eventuale effetto generico nel gioco non conta come assegnazione.</x:v>
      </x:c>
      <x:c r="L216" s="19" t="str"/>
    </x:row>
    <x:row r="217" ht="46" customHeight="1">
      <x:c r="A217" s="28" t="n">
        <x:v>204</x:v>
      </x:c>
      <x:c r="B217" s="29" t="str">
        <x:v>Eco del Guardiano</x:v>
      </x:c>
      <x:c r="C217" s="29" t="str">
        <x:v>Oscurità</x:v>
      </x:c>
      <x:c r="D217" s="27" t="str">
        <x:v>Leggera</x:v>
      </x:c>
      <x:c r="E217" s="29" t="str">
        <x:v>Crawgoyle #34</x:v>
      </x:c>
      <x:c r="F217" s="34" t="str"/>
      <x:c r="G217" s="34" t="str">
        <x:v>Da creare</x:v>
      </x:c>
      <x:c r="H217" s="30" t="str"/>
      <x:c r="I217" s="31"/>
      <x:c r="J217" s="32" t="n">
        <x:v>204</x:v>
      </x:c>
      <x:c r="K217" s="29" t="str">
        <x:v>Da reperire un VFX distinto; l’eventuale effetto generico nel gioco non conta come assegnazione.</x:v>
      </x:c>
      <x:c r="L217" s="29" t="str"/>
    </x:row>
    <x:row r="218" ht="46" customHeight="1">
      <x:c r="A218" s="22" t="n">
        <x:v>205</x:v>
      </x:c>
      <x:c r="B218" s="19" t="str">
        <x:v>Presenza Custode</x:v>
      </x:c>
      <x:c r="C218" s="19" t="str">
        <x:v>Oscurità</x:v>
      </x:c>
      <x:c r="D218" s="33" t="str">
        <x:v>Media</x:v>
      </x:c>
      <x:c r="E218" s="19" t="str">
        <x:v>Crawgoyle #35</x:v>
      </x:c>
      <x:c r="F218" s="34" t="str"/>
      <x:c r="G218" s="34" t="str">
        <x:v>Da creare</x:v>
      </x:c>
      <x:c r="H218" s="24" t="str"/>
      <x:c r="I218" s="25"/>
      <x:c r="J218" s="26" t="n">
        <x:v>205</x:v>
      </x:c>
      <x:c r="K218" s="19" t="str">
        <x:v>Da reperire un VFX distinto; l’eventuale effetto generico nel gioco non conta come assegnazione.</x:v>
      </x:c>
      <x:c r="L218" s="19" t="str"/>
    </x:row>
    <x:row r="219" ht="46" customHeight="1">
      <x:c r="A219" s="28" t="n">
        <x:v>206</x:v>
      </x:c>
      <x:c r="B219" s="29" t="str">
        <x:v>Fumo Inquieto</x:v>
      </x:c>
      <x:c r="C219" s="29" t="str">
        <x:v>Fuoco</x:v>
      </x:c>
      <x:c r="D219" s="27" t="str">
        <x:v>Leggera</x:v>
      </x:c>
      <x:c r="E219" s="29" t="str">
        <x:v>Ervys #99</x:v>
      </x:c>
      <x:c r="F219" s="29" t="str">
        <x:v>Kenney Smoke</x:v>
      </x:c>
      <x:c r="G219" s="29" t="str">
        <x:v>Proposta</x:v>
      </x:c>
      <x:c r="H219" s="30" t="str">
        <x:v>Bersaglio</x:v>
      </x:c>
      <x:c r="I219" s="31" t="n">
        <x:v>1</x:v>
      </x:c>
      <x:c r="J219" s="32" t="n">
        <x:v>206</x:v>
      </x:c>
      <x:c r="K219" s="29" t="str">
        <x:v>Proposta individuale basata su forma, colore e tema visivo; da verificare in anteprima. Risorsa statica, non animazione GIF/sprite sheet.</x:v>
      </x:c>
      <x:c r="L219" s="29" t="str">
        <x:v>kenneySmoke</x:v>
      </x:c>
    </x:row>
    <x:row r="220" ht="46" customHeight="1">
      <x:c r="A220" s="22" t="n">
        <x:v>207</x:v>
      </x:c>
      <x:c r="B220" s="19" t="str">
        <x:v>Fiamma a 270°</x:v>
      </x:c>
      <x:c r="C220" s="19" t="str">
        <x:v>Fuoco</x:v>
      </x:c>
      <x:c r="D220" s="33" t="str">
        <x:v>Media</x:v>
      </x:c>
      <x:c r="E220" s="19" t="str">
        <x:v>Ervys #100</x:v>
      </x:c>
      <x:c r="F220" s="19" t="str">
        <x:v>BasicEff.Img MonkeyPush</x:v>
      </x:c>
      <x:c r="G220" s="19" t="str">
        <x:v>Proposta</x:v>
      </x:c>
      <x:c r="H220" s="24" t="str">
        <x:v>Bersaglio</x:v>
      </x:c>
      <x:c r="I220" s="25" t="n">
        <x:v>1</x:v>
      </x:c>
      <x:c r="J220" s="26" t="n">
        <x:v>207</x:v>
      </x:c>
      <x:c r="K220" s="19" t="str">
        <x:v>Proposta individuale basata su forma, colore e tema visivo; da verificare in anteprima.</x:v>
      </x:c>
      <x:c r="L220" s="19" t="str">
        <x:v>generated:basiceff-img_monkeypush-images_nested_sheet</x:v>
      </x:c>
    </x:row>
    <x:row r="221" ht="46" customHeight="1">
      <x:c r="A221" s="28" t="n">
        <x:v>208</x:v>
      </x:c>
      <x:c r="B221" s="29" t="str">
        <x:v>Morsa Terrigena</x:v>
      </x:c>
      <x:c r="C221" s="29" t="str">
        <x:v>Terra</x:v>
      </x:c>
      <x:c r="D221" s="27" t="str">
        <x:v>Leggera</x:v>
      </x:c>
      <x:c r="E221" s="29" t="str">
        <x:v>Constrix #49</x:v>
      </x:c>
      <x:c r="F221" s="34" t="str"/>
      <x:c r="G221" s="34" t="str">
        <x:v>Da creare</x:v>
      </x:c>
      <x:c r="H221" s="30" t="str"/>
      <x:c r="I221" s="31"/>
      <x:c r="J221" s="32" t="n">
        <x:v>208</x:v>
      </x:c>
      <x:c r="K221" s="29" t="str">
        <x:v>Da reperire un VFX distinto; l’eventuale effetto generico nel gioco non conta come assegnazione.</x:v>
      </x:c>
      <x:c r="L221" s="29" t="str"/>
    </x:row>
    <x:row r="222" ht="46" customHeight="1">
      <x:c r="A222" s="22" t="n">
        <x:v>209</x:v>
      </x:c>
      <x:c r="B222" s="19" t="str">
        <x:v>Soffocaterra</x:v>
      </x:c>
      <x:c r="C222" s="19" t="str">
        <x:v>Terra</x:v>
      </x:c>
      <x:c r="D222" s="33" t="str">
        <x:v>Media</x:v>
      </x:c>
      <x:c r="E222" s="19" t="str">
        <x:v>Constrix #50</x:v>
      </x:c>
      <x:c r="F222" s="34" t="str"/>
      <x:c r="G222" s="34" t="str">
        <x:v>Da creare</x:v>
      </x:c>
      <x:c r="H222" s="24" t="str"/>
      <x:c r="I222" s="25"/>
      <x:c r="J222" s="26" t="n">
        <x:v>209</x:v>
      </x:c>
      <x:c r="K222" s="19" t="str">
        <x:v>Da reperire un VFX distinto; l’eventuale effetto generico nel gioco non conta come assegnazione.</x:v>
      </x:c>
      <x:c r="L222" s="19" t="str"/>
    </x:row>
    <x:row r="223" ht="46" customHeight="1">
      <x:c r="A223" s="28" t="n">
        <x:v>210</x:v>
      </x:c>
      <x:c r="B223" s="29" t="str">
        <x:v>Battito Terrestre</x:v>
      </x:c>
      <x:c r="C223" s="29" t="str">
        <x:v>Terra</x:v>
      </x:c>
      <x:c r="D223" s="27" t="str">
        <x:v>Leggera</x:v>
      </x:c>
      <x:c r="E223" s="29" t="str">
        <x:v>Fluffet #62</x:v>
      </x:c>
      <x:c r="F223" s="34" t="str"/>
      <x:c r="G223" s="34" t="str">
        <x:v>Da creare</x:v>
      </x:c>
      <x:c r="H223" s="30" t="str"/>
      <x:c r="I223" s="31"/>
      <x:c r="J223" s="32" t="n">
        <x:v>210</x:v>
      </x:c>
      <x:c r="K223" s="29" t="str">
        <x:v>Da reperire un VFX distinto; l’eventuale effetto generico nel gioco non conta come assegnazione.</x:v>
      </x:c>
      <x:c r="L223" s="29" t="str"/>
    </x:row>
    <x:row r="224" ht="46" customHeight="1">
      <x:c r="A224" s="22" t="n">
        <x:v>211</x:v>
      </x:c>
      <x:c r="B224" s="19" t="str">
        <x:v>Zoccolata Fangosa</x:v>
      </x:c>
      <x:c r="C224" s="19" t="str">
        <x:v>Terra</x:v>
      </x:c>
      <x:c r="D224" s="33" t="str">
        <x:v>Media</x:v>
      </x:c>
      <x:c r="E224" s="19" t="str">
        <x:v>Fluffet #63</x:v>
      </x:c>
      <x:c r="F224" s="34" t="str"/>
      <x:c r="G224" s="34" t="str">
        <x:v>Da creare</x:v>
      </x:c>
      <x:c r="H224" s="24" t="str"/>
      <x:c r="I224" s="25"/>
      <x:c r="J224" s="26" t="n">
        <x:v>211</x:v>
      </x:c>
      <x:c r="K224" s="19" t="str">
        <x:v>Da reperire un VFX distinto; l’eventuale effetto generico nel gioco non conta come assegnazione.</x:v>
      </x:c>
      <x:c r="L224" s="19" t="str"/>
    </x:row>
    <x:row r="225" ht="46" customHeight="1">
      <x:c r="A225" s="28" t="n">
        <x:v>212</x:v>
      </x:c>
      <x:c r="B225" s="29" t="str">
        <x:v>Scontro Colossale</x:v>
      </x:c>
      <x:c r="C225" s="29" t="str">
        <x:v>Normale</x:v>
      </x:c>
      <x:c r="D225" s="33" t="str">
        <x:v>Media</x:v>
      </x:c>
      <x:c r="E225" s="29" t="str">
        <x:v>Colussand #19</x:v>
      </x:c>
      <x:c r="F225" s="34" t="str"/>
      <x:c r="G225" s="34" t="str">
        <x:v>Da creare</x:v>
      </x:c>
      <x:c r="H225" s="30" t="str"/>
      <x:c r="I225" s="31"/>
      <x:c r="J225" s="32" t="n">
        <x:v>212</x:v>
      </x:c>
      <x:c r="K225" s="29" t="str">
        <x:v>Da reperire un VFX distinto; l’eventuale effetto generico nel gioco non conta come assegnazione.</x:v>
      </x:c>
      <x:c r="L225" s="29" t="str"/>
    </x:row>
    <x:row r="226" ht="46" customHeight="1">
      <x:c r="A226" s="22" t="n">
        <x:v>213</x:v>
      </x:c>
      <x:c r="B226" s="19" t="str">
        <x:v>Movimento Continentale</x:v>
      </x:c>
      <x:c r="C226" s="19" t="str">
        <x:v>Normale</x:v>
      </x:c>
      <x:c r="D226" s="36" t="str">
        <x:v>Forte</x:v>
      </x:c>
      <x:c r="E226" s="19" t="str">
        <x:v>Goliash #51</x:v>
      </x:c>
      <x:c r="F226" s="34" t="str"/>
      <x:c r="G226" s="34" t="str">
        <x:v>Da creare</x:v>
      </x:c>
      <x:c r="H226" s="24" t="str"/>
      <x:c r="I226" s="25"/>
      <x:c r="J226" s="26" t="n">
        <x:v>213</x:v>
      </x:c>
      <x:c r="K226" s="19" t="str">
        <x:v>Da reperire un VFX distinto; l’eventuale effetto generico nel gioco non conta come assegnazione.</x:v>
      </x:c>
      <x:c r="L226" s="19" t="str"/>
    </x:row>
    <x:row r="227" ht="46" customHeight="1">
      <x:c r="A227" s="28" t="n">
        <x:v>214</x:v>
      </x:c>
      <x:c r="B227" s="29" t="str">
        <x:v>Passo Furtivo</x:v>
      </x:c>
      <x:c r="C227" s="29" t="str">
        <x:v>Oscurità</x:v>
      </x:c>
      <x:c r="D227" s="33" t="str">
        <x:v>Media</x:v>
      </x:c>
      <x:c r="E227" s="29" t="str">
        <x:v>Trippix #78</x:v>
      </x:c>
      <x:c r="F227" s="29" t="str">
        <x:v>BasicEff.Img ShadowMoveStart</x:v>
      </x:c>
      <x:c r="G227" s="29" t="str">
        <x:v>Proposta</x:v>
      </x:c>
      <x:c r="H227" s="30" t="str">
        <x:v>Bersaglio</x:v>
      </x:c>
      <x:c r="I227" s="31" t="n">
        <x:v>1</x:v>
      </x:c>
      <x:c r="J227" s="32" t="n">
        <x:v>214</x:v>
      </x:c>
      <x:c r="K227" s="29" t="str">
        <x:v>Proposta individuale basata su forma, colore e tema visivo; da verificare in anteprima.</x:v>
      </x:c>
      <x:c r="L227" s="29" t="str">
        <x:v>generated:basiceff-img_shadowmovestart-images_nested_sheet</x:v>
      </x:c>
    </x:row>
    <x:row r="228" ht="46" customHeight="1">
      <x:c r="A228" s="22" t="n">
        <x:v>215</x:v>
      </x:c>
      <x:c r="B228" s="19" t="str">
        <x:v>Cucù Settete</x:v>
      </x:c>
      <x:c r="C228" s="19" t="str">
        <x:v>Normale</x:v>
      </x:c>
      <x:c r="D228" s="36" t="str">
        <x:v>Forte</x:v>
      </x:c>
      <x:c r="E228" s="19" t="str">
        <x:v>Peek-a-buu #55</x:v>
      </x:c>
      <x:c r="F228" s="19" t="str">
        <x:v>Psychic Burst</x:v>
      </x:c>
      <x:c r="G228" s="38" t="str">
        <x:v>Da adattare</x:v>
      </x:c>
      <x:c r="H228" s="24" t="str">
        <x:v>Centro</x:v>
      </x:c>
      <x:c r="I228" s="25" t="n">
        <x:v>1</x:v>
      </x:c>
      <x:c r="J228" s="26" t="n">
        <x:v>215</x:v>
      </x:c>
      <x:c r="K228" s="19" t="str">
        <x:v>Mostra un volto/mostro viola: adattare la sagoma al tema di Cucù Settete.</x:v>
      </x:c>
      <x:c r="L228" s="19" t="str">
        <x:v>psychicBurstGif</x:v>
      </x:c>
    </x:row>
    <x:row r="229" ht="46" customHeight="1">
      <x:c r="A229" s="28" t="n">
        <x:v>216</x:v>
      </x:c>
      <x:c r="B229" s="29" t="str">
        <x:v>Rugiada Mattutina</x:v>
      </x:c>
      <x:c r="C229" s="29" t="str">
        <x:v>Acqua</x:v>
      </x:c>
      <x:c r="D229" s="33" t="str">
        <x:v>Media</x:v>
      </x:c>
      <x:c r="E229" s="29" t="str">
        <x:v>Grooty #98</x:v>
      </x:c>
      <x:c r="F229" s="34" t="str"/>
      <x:c r="G229" s="34" t="str">
        <x:v>Da creare</x:v>
      </x:c>
      <x:c r="H229" s="30" t="str"/>
      <x:c r="I229" s="31"/>
      <x:c r="J229" s="32" t="n">
        <x:v>216</x:v>
      </x:c>
      <x:c r="K229" s="29" t="str">
        <x:v>Da reperire un VFX distinto; l’eventuale effetto generico nel gioco non conta come assegnazione.</x:v>
      </x:c>
      <x:c r="L229" s="29" t="str"/>
    </x:row>
    <x:row r="230" ht="46" customHeight="1">
      <x:c r="A230" s="22" t="n">
        <x:v>217</x:v>
      </x:c>
      <x:c r="B230" s="19" t="str">
        <x:v>Boro Breath</x:v>
      </x:c>
      <x:c r="C230" s="19" t="str">
        <x:v>Normale</x:v>
      </x:c>
      <x:c r="D230" s="36" t="str">
        <x:v>Forte</x:v>
      </x:c>
      <x:c r="E230" s="19" t="str">
        <x:v>Oniros #109</x:v>
      </x:c>
      <x:c r="F230" s="34" t="str"/>
      <x:c r="G230" s="34" t="str">
        <x:v>Da creare</x:v>
      </x:c>
      <x:c r="H230" s="24" t="str"/>
      <x:c r="I230" s="25"/>
      <x:c r="J230" s="26" t="n">
        <x:v>217</x:v>
      </x:c>
      <x:c r="K230" s="19" t="str">
        <x:v>Da reperire un VFX distinto; l’eventuale effetto generico nel gioco non conta come assegnazione.</x:v>
      </x:c>
      <x:c r="L230" s="19" t="str"/>
    </x:row>
    <x:row r="231" ht="46" customHeight="1">
      <x:c r="A231" s="28" t="n">
        <x:v>218</x:v>
      </x:c>
      <x:c r="B231" s="29" t="str">
        <x:v>Boro Breath</x:v>
      </x:c>
      <x:c r="C231" s="29" t="str">
        <x:v>Normale</x:v>
      </x:c>
      <x:c r="D231" s="36" t="str">
        <x:v>Forte</x:v>
      </x:c>
      <x:c r="E231" s="29" t="str">
        <x:v>Voider #110</x:v>
      </x:c>
      <x:c r="F231" s="34" t="str"/>
      <x:c r="G231" s="34" t="str">
        <x:v>Da creare</x:v>
      </x:c>
      <x:c r="H231" s="30" t="str"/>
      <x:c r="I231" s="31"/>
      <x:c r="J231" s="32" t="n">
        <x:v>218</x:v>
      </x:c>
      <x:c r="K231" s="29" t="str">
        <x:v>Da reperire un VFX distinto; l’eventuale effetto generico nel gioco non conta come assegnazione.</x:v>
      </x:c>
      <x:c r="L231" s="29" t="str"/>
    </x:row>
    <x:row r="232" ht="46" customHeight="1">
      <x:c r="A232" s="22" t="n">
        <x:v>219</x:v>
      </x:c>
      <x:c r="B232" s="19" t="str">
        <x:v>Visione Musiva</x:v>
      </x:c>
      <x:c r="C232" s="19" t="str">
        <x:v>Normale</x:v>
      </x:c>
      <x:c r="D232" s="36" t="str">
        <x:v>Forte</x:v>
      </x:c>
      <x:c r="E232" s="19" t="str">
        <x:v>Ao-shin #107</x:v>
      </x:c>
      <x:c r="F232" s="19" t="str">
        <x:v>Burst</x:v>
      </x:c>
      <x:c r="G232" s="19" t="str">
        <x:v>Proposta</x:v>
      </x:c>
      <x:c r="H232" s="24" t="str">
        <x:v>Centro</x:v>
      </x:c>
      <x:c r="I232" s="25" t="n">
        <x:v>1</x:v>
      </x:c>
      <x:c r="J232" s="26" t="n">
        <x:v>219</x:v>
      </x:c>
      <x:c r="K232" s="19" t="str">
        <x:v>Proposta individuale basata su forma, colore e tema visivo; da verificare in anteprima.</x:v>
      </x:c>
      <x:c r="L232" s="19" t="str">
        <x:v>burst</x:v>
      </x:c>
    </x:row>
    <x:row r="233" ht="46" customHeight="1">
      <x:c r="A233" s="28" t="n">
        <x:v>220</x:v>
      </x:c>
      <x:c r="B233" s="29" t="str">
        <x:v>Ordine Imperiale</x:v>
      </x:c>
      <x:c r="C233" s="29" t="str">
        <x:v>Normale</x:v>
      </x:c>
      <x:c r="D233" s="36" t="str">
        <x:v>Forte</x:v>
      </x:c>
      <x:c r="E233" s="29" t="str">
        <x:v>Aka-shin #108</x:v>
      </x:c>
      <x:c r="F233" s="34" t="str"/>
      <x:c r="G233" s="34" t="str">
        <x:v>Da creare</x:v>
      </x:c>
      <x:c r="H233" s="30" t="str"/>
      <x:c r="I233" s="31"/>
      <x:c r="J233" s="32" t="n">
        <x:v>220</x:v>
      </x:c>
      <x:c r="K233" s="29" t="str">
        <x:v>Da reperire un VFX distinto; l’eventuale effetto generico nel gioco non conta come assegnazione.</x:v>
      </x:c>
      <x:c r="L233" s="29" t="str"/>
    </x:row>
    <x:row r="234" ht="46" customHeight="1">
      <x:c r="A234" s="22" t="n">
        <x:v>221</x:v>
      </x:c>
      <x:c r="B234" s="19" t="str">
        <x:v>Furia Ionica</x:v>
      </x:c>
      <x:c r="C234" s="19" t="str">
        <x:v>Status (Paralisi)</x:v>
      </x:c>
      <x:c r="D234" s="39" t="str">
        <x:v>Status / danno fisso</x:v>
      </x:c>
      <x:c r="E234" s="19" t="str">
        <x:v>Vyrath #3; Vyrath #4</x:v>
      </x:c>
      <x:c r="F234" s="34" t="str"/>
      <x:c r="G234" s="34" t="str">
        <x:v>Da creare</x:v>
      </x:c>
      <x:c r="H234" s="24" t="str"/>
      <x:c r="I234" s="25"/>
      <x:c r="J234" s="26"/>
      <x:c r="K234" s="19" t="str">
        <x:v>Da reperire un VFX distinto; l’eventuale effetto generico nel gioco non conta come assegnazione.</x:v>
      </x:c>
      <x:c r="L234" s="19" t="str"/>
    </x:row>
    <x:row r="235" ht="46" customHeight="1">
      <x:c r="A235" s="28" t="n">
        <x:v>222</x:v>
      </x:c>
      <x:c r="B235" s="29" t="str">
        <x:v>Colpo Cibernetico</x:v>
      </x:c>
      <x:c r="C235" s="29" t="str">
        <x:v>Status (Danno Fisso)</x:v>
      </x:c>
      <x:c r="D235" s="39" t="str">
        <x:v>Status / danno fisso</x:v>
      </x:c>
      <x:c r="E235" s="29" t="str">
        <x:v>Teslat #87; Teslat #88</x:v>
      </x:c>
      <x:c r="F235" s="29" t="str">
        <x:v>Guard Break</x:v>
      </x:c>
      <x:c r="G235" s="29" t="str">
        <x:v>Proposta</x:v>
      </x:c>
      <x:c r="H235" s="30" t="str">
        <x:v>Bersaglio</x:v>
      </x:c>
      <x:c r="I235" s="31" t="n">
        <x:v>1</x:v>
      </x:c>
      <x:c r="J235" s="32"/>
      <x:c r="K235" s="29" t="str">
        <x:v>Rottura di uno scudo cibernetico: proposta per il danno fisso, senza introdurre una meccanica di rottura guardia. Proposta individuale basata su forma, colore e tema visivo; da verificare in anteprima.</x:v>
      </x:c>
      <x:c r="L235" s="29" t="str">
        <x:v>guardBreakGif</x:v>
      </x:c>
    </x:row>
    <x:row r="236" ht="46" customHeight="1">
      <x:c r="A236" s="22" t="n">
        <x:v>223</x:v>
      </x:c>
      <x:c r="B236" s="19" t="str">
        <x:v>Scheggia Gelida</x:v>
      </x:c>
      <x:c r="C236" s="19" t="str">
        <x:v>Status (Danno Fisso)</x:v>
      </x:c>
      <x:c r="D236" s="39" t="str">
        <x:v>Status / danno fisso</x:v>
      </x:c>
      <x:c r="E236" s="19" t="str">
        <x:v>Blizzaquil #72; Blizzaquil #73</x:v>
      </x:c>
      <x:c r="F236" s="34" t="str"/>
      <x:c r="G236" s="34" t="str">
        <x:v>Da creare</x:v>
      </x:c>
      <x:c r="H236" s="24" t="str"/>
      <x:c r="I236" s="25"/>
      <x:c r="J236" s="26"/>
      <x:c r="K236" s="19" t="str">
        <x:v>Da reperire un VFX distinto; l’eventuale effetto generico nel gioco non conta come assegnazione.</x:v>
      </x:c>
      <x:c r="L236" s="19" t="str"/>
    </x:row>
    <x:row r="237" ht="46" customHeight="1">
      <x:c r="A237" s="28" t="n">
        <x:v>224</x:v>
      </x:c>
      <x:c r="B237" s="29" t="str">
        <x:v>Flusso Vitale</x:v>
      </x:c>
      <x:c r="C237" s="29" t="str">
        <x:v>Status (Recupero Alto HP)</x:v>
      </x:c>
      <x:c r="D237" s="39" t="str">
        <x:v>Status / danno fisso</x:v>
      </x:c>
      <x:c r="E237" s="29" t="str">
        <x:v>Clastoom #17; Clastoom #18</x:v>
      </x:c>
      <x:c r="F237" s="29" t="str">
        <x:v>OnUserEff.Img AbyssExpedition Summon</x:v>
      </x:c>
      <x:c r="G237" s="29" t="str">
        <x:v>Proposta</x:v>
      </x:c>
      <x:c r="H237" s="30" t="str">
        <x:v>Utilizzatore</x:v>
      </x:c>
      <x:c r="I237" s="31" t="n">
        <x:v>1</x:v>
      </x:c>
      <x:c r="J237" s="32"/>
      <x:c r="K237" s="29" t="str">
        <x:v>Proposta individuale basata su forma, colore e tema visivo; da verificare in anteprima.</x:v>
      </x:c>
      <x:c r="L237" s="29" t="str">
        <x:v>generated:onusereff-img_abyssexpedition_summon-images_nested_sheet</x:v>
      </x:c>
    </x:row>
    <x:row r="238" ht="46" customHeight="1">
      <x:c r="A238" s="22" t="n">
        <x:v>225</x:v>
      </x:c>
      <x:c r="B238" s="19" t="str">
        <x:v>Impatto Voltaico</x:v>
      </x:c>
      <x:c r="C238" s="19" t="str">
        <x:v>Status (Paralisi)</x:v>
      </x:c>
      <x:c r="D238" s="39" t="str">
        <x:v>Status / danno fisso</x:v>
      </x:c>
      <x:c r="E238" s="19" t="str">
        <x:v>Ampereel #27</x:v>
      </x:c>
      <x:c r="F238" s="19" t="str">
        <x:v>AnglerCompany.Img SubBoss ChargedCannon Red Hit</x:v>
      </x:c>
      <x:c r="G238" s="19" t="str">
        <x:v>Proposta</x:v>
      </x:c>
      <x:c r="H238" s="24" t="str">
        <x:v>Bersaglio</x:v>
      </x:c>
      <x:c r="I238" s="25" t="n">
        <x:v>1</x:v>
      </x:c>
      <x:c r="J238" s="26"/>
      <x:c r="K238" s="19" t="str">
        <x:v>Proposta individuale basata su forma, colore e tema visivo; da verificare in anteprima.</x:v>
      </x:c>
      <x:c r="L238" s="19" t="str">
        <x:v>generated:anglercompany-img_subboss_chargedcannon_red_hit-images_nested_sheet</x:v>
      </x:c>
    </x:row>
    <x:row r="239" ht="46" customHeight="1">
      <x:c r="A239" s="28" t="n">
        <x:v>226</x:v>
      </x:c>
      <x:c r="B239" s="29" t="str">
        <x:v>Calma Piatta</x:v>
      </x:c>
      <x:c r="C239" s="29" t="str">
        <x:v>Status (Sonno)</x:v>
      </x:c>
      <x:c r="D239" s="39" t="str">
        <x:v>Status / danno fisso</x:v>
      </x:c>
      <x:c r="E239" s="29" t="str">
        <x:v>Felvex #43; Felvex #44</x:v>
      </x:c>
      <x:c r="F239" s="34" t="str"/>
      <x:c r="G239" s="34" t="str">
        <x:v>Da creare</x:v>
      </x:c>
      <x:c r="H239" s="30" t="str"/>
      <x:c r="I239" s="31"/>
      <x:c r="J239" s="32"/>
      <x:c r="K239" s="29" t="str">
        <x:v>Da reperire un VFX distinto; l’eventuale effetto generico nel gioco non conta come assegnazione.</x:v>
      </x:c>
      <x:c r="L239" s="29" t="str"/>
    </x:row>
    <x:row r="240" ht="46" customHeight="1">
      <x:c r="A240" s="22" t="n">
        <x:v>227</x:v>
      </x:c>
      <x:c r="B240" s="19" t="str">
        <x:v>Impatto Statico</x:v>
      </x:c>
      <x:c r="C240" s="19" t="str">
        <x:v>Status (Paralisi)</x:v>
      </x:c>
      <x:c r="D240" s="39" t="str">
        <x:v>Status / danno fisso</x:v>
      </x:c>
      <x:c r="E240" s="19" t="str">
        <x:v>Grimbolt #25</x:v>
      </x:c>
      <x:c r="F240" s="34" t="str"/>
      <x:c r="G240" s="34" t="str">
        <x:v>Da creare</x:v>
      </x:c>
      <x:c r="H240" s="24" t="str"/>
      <x:c r="I240" s="25"/>
      <x:c r="J240" s="26"/>
      <x:c r="K240" s="19" t="str">
        <x:v>Da reperire un VFX distinto; l’eventuale effetto generico nel gioco non conta come assegnazione.</x:v>
      </x:c>
      <x:c r="L240" s="19" t="str"/>
    </x:row>
    <x:row r="241" ht="46" customHeight="1">
      <x:c r="A241" s="28" t="n">
        <x:v>228</x:v>
      </x:c>
      <x:c r="B241" s="29" t="str">
        <x:v>Illusione Sincronica</x:v>
      </x:c>
      <x:c r="C241" s="29" t="str">
        <x:v>Status (Confusione)</x:v>
      </x:c>
      <x:c r="D241" s="39" t="str">
        <x:v>Status / danno fisso</x:v>
      </x:c>
      <x:c r="E241" s="29" t="str">
        <x:v>Deephion #57</x:v>
      </x:c>
      <x:c r="F241" s="29" t="str">
        <x:v>Confuse</x:v>
      </x:c>
      <x:c r="G241" s="29" t="str">
        <x:v>Proposta</x:v>
      </x:c>
      <x:c r="H241" s="30" t="str">
        <x:v>Bersaglio</x:v>
      </x:c>
      <x:c r="I241" s="31" t="n">
        <x:v>1</x:v>
      </x:c>
      <x:c r="J241" s="32"/>
      <x:c r="K241" s="29" t="str">
        <x:v>Proposta individuale basata su forma, colore e tema visivo; da verificare in anteprima.</x:v>
      </x:c>
      <x:c r="L241" s="29" t="str">
        <x:v>confuseGif</x:v>
      </x:c>
    </x:row>
    <x:row r="242" ht="46" customHeight="1">
      <x:c r="A242" s="22" t="n">
        <x:v>229</x:v>
      </x:c>
      <x:c r="B242" s="19" t="str">
        <x:v>Fuga Mentale</x:v>
      </x:c>
      <x:c r="C242" s="19" t="str">
        <x:v>Status (Confusione)</x:v>
      </x:c>
      <x:c r="D242" s="39" t="str">
        <x:v>Status / danno fisso</x:v>
      </x:c>
      <x:c r="E242" s="19" t="str">
        <x:v>Fearstraw #68</x:v>
      </x:c>
      <x:c r="F242" s="34" t="str"/>
      <x:c r="G242" s="34" t="str">
        <x:v>Da creare</x:v>
      </x:c>
      <x:c r="H242" s="24" t="str"/>
      <x:c r="I242" s="25"/>
      <x:c r="J242" s="26"/>
      <x:c r="K242" s="19" t="str">
        <x:v>Da reperire un VFX distinto; l’eventuale effetto generico nel gioco non conta come assegnazione.</x:v>
      </x:c>
      <x:c r="L242" s="19" t="str"/>
    </x:row>
    <x:row r="243" ht="46" customHeight="1">
      <x:c r="A243" s="28" t="n">
        <x:v>230</x:v>
      </x:c>
      <x:c r="B243" s="29" t="str">
        <x:v>Barriera elettrica</x:v>
      </x:c>
      <x:c r="C243" s="29" t="str">
        <x:v>Status (Paralisi)</x:v>
      </x:c>
      <x:c r="D243" s="39" t="str">
        <x:v>Status / danno fisso</x:v>
      </x:c>
      <x:c r="E243" s="29" t="str">
        <x:v>Shrody #21</x:v>
      </x:c>
      <x:c r="F243" s="29" t="str">
        <x:v>AnglerCompany.Img SubBoss RailCannon Guard</x:v>
      </x:c>
      <x:c r="G243" s="29" t="str">
        <x:v>Proposta</x:v>
      </x:c>
      <x:c r="H243" s="30" t="str">
        <x:v>Bersaglio</x:v>
      </x:c>
      <x:c r="I243" s="31" t="n">
        <x:v>1</x:v>
      </x:c>
      <x:c r="J243" s="32"/>
      <x:c r="K243" s="29" t="str">
        <x:v>Anello elettrico sul bersaglio: rappresenta paralisi, non conferisce protezione. Proposta individuale basata su forma, colore e tema visivo; da verificare in anteprima.</x:v>
      </x:c>
      <x:c r="L243" s="29" t="str">
        <x:v>generated:anglercompany-img_subboss_railcannon_guard-images_nested_sheet</x:v>
      </x:c>
    </x:row>
    <x:row r="244" ht="46" customHeight="1">
      <x:c r="A244" s="22" t="n">
        <x:v>231</x:v>
      </x:c>
      <x:c r="B244" s="19" t="str">
        <x:v>Tocco Risanante</x:v>
      </x:c>
      <x:c r="C244" s="19" t="str">
        <x:v>Status (Cura Status e Recupero Basso HP)</x:v>
      </x:c>
      <x:c r="D244" s="39" t="str">
        <x:v>Status / danno fisso</x:v>
      </x:c>
      <x:c r="E244" s="19" t="str">
        <x:v>Hoppiox #66</x:v>
      </x:c>
      <x:c r="F244" s="34" t="str"/>
      <x:c r="G244" s="34" t="str">
        <x:v>Da creare</x:v>
      </x:c>
      <x:c r="H244" s="24" t="str"/>
      <x:c r="I244" s="25"/>
      <x:c r="J244" s="26"/>
      <x:c r="K244" s="19" t="str">
        <x:v>Da reperire un VFX distinto; l’eventuale effetto generico nel gioco non conta come assegnazione.</x:v>
      </x:c>
      <x:c r="L244" s="19" t="str"/>
    </x:row>
    <x:row r="245" ht="46" customHeight="1">
      <x:c r="A245" s="28" t="n">
        <x:v>232</x:v>
      </x:c>
      <x:c r="B245" s="29" t="str">
        <x:v>Soffio Purificante</x:v>
      </x:c>
      <x:c r="C245" s="29" t="str">
        <x:v>Status (Cura Status e Recupero Basso HP)</x:v>
      </x:c>
      <x:c r="D245" s="39" t="str">
        <x:v>Status / danno fisso</x:v>
      </x:c>
      <x:c r="E245" s="29" t="str">
        <x:v>Reliskull #82</x:v>
      </x:c>
      <x:c r="F245" s="34" t="str"/>
      <x:c r="G245" s="34" t="str">
        <x:v>Da creare</x:v>
      </x:c>
      <x:c r="H245" s="30" t="str"/>
      <x:c r="I245" s="31"/>
      <x:c r="J245" s="32"/>
      <x:c r="K245" s="29" t="str">
        <x:v>Da reperire un VFX distinto; l’eventuale effetto generico nel gioco non conta come assegnazione.</x:v>
      </x:c>
      <x:c r="L245" s="29" t="str"/>
    </x:row>
    <x:row r="246" ht="46" customHeight="1">
      <x:c r="A246" s="22" t="n">
        <x:v>233</x:v>
      </x:c>
      <x:c r="B246" s="19" t="str">
        <x:v>Acqua Curativa</x:v>
      </x:c>
      <x:c r="C246" s="19" t="str">
        <x:v>Status (Recupero Alto HP)</x:v>
      </x:c>
      <x:c r="D246" s="39" t="str">
        <x:v>Status / danno fisso</x:v>
      </x:c>
      <x:c r="E246" s="19" t="str">
        <x:v>Wailoom #61</x:v>
      </x:c>
      <x:c r="F246" s="34" t="str"/>
      <x:c r="G246" s="34" t="str">
        <x:v>Da creare</x:v>
      </x:c>
      <x:c r="H246" s="24" t="str"/>
      <x:c r="I246" s="25"/>
      <x:c r="J246" s="26"/>
      <x:c r="K246" s="19" t="str">
        <x:v>Da reperire un VFX distinto; l’eventuale effetto generico nel gioco non conta come assegnazione.</x:v>
      </x:c>
      <x:c r="L246" s="19" t="str"/>
    </x:row>
    <x:row r="247" ht="46" customHeight="1">
      <x:c r="A247" s="28" t="n">
        <x:v>234</x:v>
      </x:c>
      <x:c r="B247" s="29" t="str">
        <x:v>Ombra del Riposo</x:v>
      </x:c>
      <x:c r="C247" s="29" t="str">
        <x:v>Status (Sonno)</x:v>
      </x:c>
      <x:c r="D247" s="39" t="str">
        <x:v>Status / danno fisso</x:v>
      </x:c>
      <x:c r="E247" s="29" t="str">
        <x:v>Darklaw #7; Darklaw #8</x:v>
      </x:c>
      <x:c r="F247" s="34" t="str"/>
      <x:c r="G247" s="34" t="str">
        <x:v>Da creare</x:v>
      </x:c>
      <x:c r="H247" s="30" t="str"/>
      <x:c r="I247" s="31"/>
      <x:c r="J247" s="32"/>
      <x:c r="K247" s="29" t="str">
        <x:v>Da reperire un VFX distinto; l’eventuale effetto generico nel gioco non conta come assegnazione.</x:v>
      </x:c>
      <x:c r="L247" s="29" t="str"/>
    </x:row>
    <x:row r="248" ht="46" customHeight="1">
      <x:c r="A248" s="22" t="n">
        <x:v>235</x:v>
      </x:c>
      <x:c r="B248" s="19" t="str">
        <x:v>Morso Ardente</x:v>
      </x:c>
      <x:c r="C248" s="19" t="str">
        <x:v>Status (Danno Fisso)</x:v>
      </x:c>
      <x:c r="D248" s="39" t="str">
        <x:v>Status / danno fisso</x:v>
      </x:c>
      <x:c r="E248" s="19" t="str">
        <x:v>Pyrodil #93; Pyrodil #94</x:v>
      </x:c>
      <x:c r="F248" s="19" t="str">
        <x:v>ChampionRaid.Img StackDebuff Flame Pre</x:v>
      </x:c>
      <x:c r="G248" s="19" t="str">
        <x:v>Proposta</x:v>
      </x:c>
      <x:c r="H248" s="24" t="str">
        <x:v>Bersaglio</x:v>
      </x:c>
      <x:c r="I248" s="25" t="n">
        <x:v>1</x:v>
      </x:c>
      <x:c r="J248" s="26"/>
      <x:c r="K248" s="19" t="str">
        <x:v>Proposta individuale basata su forma, colore e tema visivo; da verificare in anteprima.</x:v>
      </x:c>
      <x:c r="L248" s="19" t="str">
        <x:v>generated:championraid-img_stackdebuff_flame_pre-images_nested_sheet</x:v>
      </x:c>
    </x:row>
    <x:row r="249" ht="46" customHeight="1">
      <x:c r="A249" s="28" t="n">
        <x:v>236</x:v>
      </x:c>
      <x:c r="B249" s="29" t="str">
        <x:v>Caos Psichico</x:v>
      </x:c>
      <x:c r="C249" s="29" t="str">
        <x:v>Status (Confusione)</x:v>
      </x:c>
      <x:c r="D249" s="39" t="str">
        <x:v>Status / danno fisso</x:v>
      </x:c>
      <x:c r="E249" s="29" t="str">
        <x:v>Impise #75; Impise #76</x:v>
      </x:c>
      <x:c r="F249" s="34" t="str"/>
      <x:c r="G249" s="34" t="str">
        <x:v>Da creare</x:v>
      </x:c>
      <x:c r="H249" s="30" t="str"/>
      <x:c r="I249" s="31"/>
      <x:c r="J249" s="32"/>
      <x:c r="K249" s="29" t="str">
        <x:v>Da reperire un VFX distinto; l’eventuale effetto generico nel gioco non conta come assegnazione.</x:v>
      </x:c>
      <x:c r="L249" s="29" t="str"/>
    </x:row>
    <x:row r="250" ht="46" customHeight="1">
      <x:c r="A250" s="22" t="n">
        <x:v>237</x:v>
      </x:c>
      <x:c r="B250" s="19" t="str">
        <x:v>Battito Animale</x:v>
      </x:c>
      <x:c r="C250" s="19" t="str">
        <x:v>Status (Recupero Alto HP)</x:v>
      </x:c>
      <x:c r="D250" s="39" t="str">
        <x:v>Status / danno fisso</x:v>
      </x:c>
      <x:c r="E250" s="19" t="str">
        <x:v>Chimzap #37; Chimzap #38</x:v>
      </x:c>
      <x:c r="F250" s="19" t="str">
        <x:v>BasicEff.Img ItemLevelUp</x:v>
      </x:c>
      <x:c r="G250" s="38" t="str">
        <x:v>Da adattare</x:v>
      </x:c>
      <x:c r="H250" s="24" t="str">
        <x:v>Utilizzatore</x:v>
      </x:c>
      <x:c r="I250" s="25" t="n">
        <x:v>1</x:v>
      </x:c>
      <x:c r="J250" s="26"/>
      <x:c r="K250" s="19" t="str">
        <x:v>Contiene la scritta LEVEL UP: rimuovere il testo prima di usarlo come recupero HP.</x:v>
      </x:c>
      <x:c r="L250" s="19" t="str">
        <x:v>generated:basiceff-img_itemlevelup-images_nested_sheet</x:v>
      </x:c>
    </x:row>
    <x:row r="251" ht="46" customHeight="1">
      <x:c r="A251" s="28" t="n">
        <x:v>238</x:v>
      </x:c>
      <x:c r="B251" s="29" t="str">
        <x:v>Rilascio Cinetico</x:v>
      </x:c>
      <x:c r="C251" s="29" t="str">
        <x:v>Status (Cura Paralisi)</x:v>
      </x:c>
      <x:c r="D251" s="39" t="str">
        <x:v>Status / danno fisso</x:v>
      </x:c>
      <x:c r="E251" s="29" t="str">
        <x:v>Silvard #29</x:v>
      </x:c>
      <x:c r="F251" s="29" t="str">
        <x:v>DiceMaster · faccia 2</x:v>
      </x:c>
      <x:c r="G251" s="38" t="str">
        <x:v>Da adattare</x:v>
      </x:c>
      <x:c r="H251" s="30" t="str">
        <x:v>Utilizzatore</x:v>
      </x:c>
      <x:c r="I251" s="31" t="n">
        <x:v>1</x:v>
      </x:c>
      <x:c r="J251" s="32"/>
      <x:c r="K251" s="29" t="str">
        <x:v>Riserva tecnica: mostra una faccia di dado. Sostituire l’icona con una rappresentazione della mossa; non pronto per la battaglia.</x:v>
      </x:c>
      <x:c r="L251" s="29" t="str">
        <x:v>generated:effectpl-img_dicemaster-images_nested__diceroll__2_sheet</x:v>
      </x:c>
    </x:row>
    <x:row r="252" ht="46" customHeight="1">
      <x:c r="A252" s="22" t="n">
        <x:v>239</x:v>
      </x:c>
      <x:c r="B252" s="19" t="str">
        <x:v>Scioglimento Muscolare</x:v>
      </x:c>
      <x:c r="C252" s="19" t="str">
        <x:v>Status (Cura Paralisi)</x:v>
      </x:c>
      <x:c r="D252" s="39" t="str">
        <x:v>Status / danno fisso</x:v>
      </x:c>
      <x:c r="E252" s="19" t="str">
        <x:v>Psycroak #85</x:v>
      </x:c>
      <x:c r="F252" s="19" t="str">
        <x:v>DiceMaster · faccia 3</x:v>
      </x:c>
      <x:c r="G252" s="38" t="str">
        <x:v>Da adattare</x:v>
      </x:c>
      <x:c r="H252" s="24" t="str">
        <x:v>Utilizzatore</x:v>
      </x:c>
      <x:c r="I252" s="25" t="n">
        <x:v>1</x:v>
      </x:c>
      <x:c r="J252" s="26"/>
      <x:c r="K252" s="19" t="str">
        <x:v>Riserva tecnica: mostra una faccia di dado. Sostituire l’icona con una rappresentazione della mossa; non pronto per la battaglia.</x:v>
      </x:c>
      <x:c r="L252" s="19" t="str">
        <x:v>generated:effectpl-img_dicemaster-images_nested__diceroll__3_sheet</x:v>
      </x:c>
    </x:row>
    <x:row r="253" ht="46" customHeight="1">
      <x:c r="A253" s="28" t="n">
        <x:v>240</x:v>
      </x:c>
      <x:c r="B253" s="29" t="str">
        <x:v>Disperdi Tensione</x:v>
      </x:c>
      <x:c r="C253" s="29" t="str">
        <x:v>Status (Cura Paralisi)</x:v>
      </x:c>
      <x:c r="D253" s="39" t="str">
        <x:v>Status / danno fisso</x:v>
      </x:c>
      <x:c r="E253" s="29" t="str">
        <x:v>Spectron #46</x:v>
      </x:c>
      <x:c r="F253" s="29" t="str">
        <x:v>DiceMaster · faccia 4</x:v>
      </x:c>
      <x:c r="G253" s="38" t="str">
        <x:v>Da adattare</x:v>
      </x:c>
      <x:c r="H253" s="30" t="str">
        <x:v>Utilizzatore</x:v>
      </x:c>
      <x:c r="I253" s="31" t="n">
        <x:v>1</x:v>
      </x:c>
      <x:c r="J253" s="32"/>
      <x:c r="K253" s="29" t="str">
        <x:v>Riserva tecnica: mostra una faccia di dado. Sostituire l’icona con una rappresentazione della mossa; non pronto per la battaglia.</x:v>
      </x:c>
      <x:c r="L253" s="29" t="str">
        <x:v>generated:effectpl-img_dicemaster-images_nested__diceroll__4_sheet</x:v>
      </x:c>
    </x:row>
    <x:row r="254" ht="46" customHeight="1">
      <x:c r="A254" s="22" t="n">
        <x:v>241</x:v>
      </x:c>
      <x:c r="B254" s="19" t="str">
        <x:v>Abbraccio Curativo</x:v>
      </x:c>
      <x:c r="C254" s="19" t="str">
        <x:v>Status (Cura Status e Recupero Basso HP)</x:v>
      </x:c>
      <x:c r="D254" s="39" t="str">
        <x:v>Status / danno fisso</x:v>
      </x:c>
      <x:c r="E254" s="19" t="str">
        <x:v>Xesar #102</x:v>
      </x:c>
      <x:c r="F254" s="19" t="str">
        <x:v>BasicEff.Img Wedding</x:v>
      </x:c>
      <x:c r="G254" s="19" t="str">
        <x:v>Proposta</x:v>
      </x:c>
      <x:c r="H254" s="24" t="str">
        <x:v>Utilizzatore</x:v>
      </x:c>
      <x:c r="I254" s="25" t="n">
        <x:v>1</x:v>
      </x:c>
      <x:c r="J254" s="26"/>
      <x:c r="K254" s="19" t="str">
        <x:v>Proposta individuale basata su forma, colore e tema visivo; da verificare in anteprima.</x:v>
      </x:c>
      <x:c r="L254" s="19" t="str">
        <x:v>generated:basiceff-img_wedding-images_nested_sheet</x:v>
      </x:c>
    </x:row>
    <x:row r="255" ht="46" customHeight="1">
      <x:c r="A255" s="28" t="n">
        <x:v>242</x:v>
      </x:c>
      <x:c r="B255" s="29" t="str">
        <x:v>Papille Paralizzanti</x:v>
      </x:c>
      <x:c r="C255" s="29" t="str">
        <x:v>Status (Paralisi)</x:v>
      </x:c>
      <x:c r="D255" s="39" t="str">
        <x:v>Status / danno fisso</x:v>
      </x:c>
      <x:c r="E255" s="29" t="str">
        <x:v>Lickard #70</x:v>
      </x:c>
      <x:c r="F255" s="34" t="str"/>
      <x:c r="G255" s="34" t="str">
        <x:v>Da creare</x:v>
      </x:c>
      <x:c r="H255" s="30" t="str"/>
      <x:c r="I255" s="31"/>
      <x:c r="J255" s="32"/>
      <x:c r="K255" s="29" t="str">
        <x:v>Da reperire un VFX distinto; l’eventuale effetto generico nel gioco non conta come assegnazione.</x:v>
      </x:c>
      <x:c r="L255" s="29" t="str"/>
    </x:row>
    <x:row r="256" ht="46" customHeight="1">
      <x:c r="A256" s="22" t="n">
        <x:v>243</x:v>
      </x:c>
      <x:c r="B256" s="19" t="str">
        <x:v>Siero Corrosivo</x:v>
      </x:c>
      <x:c r="C256" s="19" t="str">
        <x:v>Status (Veleno)</x:v>
      </x:c>
      <x:c r="D256" s="39" t="str">
        <x:v>Status / danno fisso</x:v>
      </x:c>
      <x:c r="E256" s="19" t="str">
        <x:v>Voltrake #22</x:v>
      </x:c>
      <x:c r="F256" s="19" t="str">
        <x:v>ChampionRaid.Img StackDebuff Acid Pre</x:v>
      </x:c>
      <x:c r="G256" s="19" t="str">
        <x:v>Proposta</x:v>
      </x:c>
      <x:c r="H256" s="24" t="str">
        <x:v>Bersaglio</x:v>
      </x:c>
      <x:c r="I256" s="25" t="n">
        <x:v>1</x:v>
      </x:c>
      <x:c r="J256" s="26"/>
      <x:c r="K256" s="19" t="str">
        <x:v>Proposta individuale basata su forma, colore e tema visivo; da verificare in anteprima.</x:v>
      </x:c>
      <x:c r="L256" s="19" t="str">
        <x:v>generated:championraid-img_stackdebuff_acid_pre-images_nested_sheet</x:v>
      </x:c>
    </x:row>
    <x:row r="257" ht="46" customHeight="1">
      <x:c r="A257" s="28" t="n">
        <x:v>244</x:v>
      </x:c>
      <x:c r="B257" s="29" t="str">
        <x:v>Rilascio Elettrico</x:v>
      </x:c>
      <x:c r="C257" s="29" t="str">
        <x:v>Status (Cura Paralisi)</x:v>
      </x:c>
      <x:c r="D257" s="39" t="str">
        <x:v>Status / danno fisso</x:v>
      </x:c>
      <x:c r="E257" s="29" t="str">
        <x:v>Sparkly #23</x:v>
      </x:c>
      <x:c r="F257" s="29" t="str">
        <x:v>DiceMaster · faccia 5</x:v>
      </x:c>
      <x:c r="G257" s="38" t="str">
        <x:v>Da adattare</x:v>
      </x:c>
      <x:c r="H257" s="30" t="str">
        <x:v>Utilizzatore</x:v>
      </x:c>
      <x:c r="I257" s="31" t="n">
        <x:v>1</x:v>
      </x:c>
      <x:c r="J257" s="32"/>
      <x:c r="K257" s="29" t="str">
        <x:v>Riserva tecnica: mostra una faccia di dado. Sostituire l’icona con una rappresentazione della mossa; non pronto per la battaglia.</x:v>
      </x:c>
      <x:c r="L257" s="29" t="str">
        <x:v>generated:effectpl-img_dicemaster-images_nested__diceroll__5_sheet</x:v>
      </x:c>
    </x:row>
    <x:row r="258" ht="46" customHeight="1">
      <x:c r="A258" s="22" t="n">
        <x:v>245</x:v>
      </x:c>
      <x:c r="B258" s="19" t="str">
        <x:v>Fine della Stasi</x:v>
      </x:c>
      <x:c r="C258" s="19" t="str">
        <x:v>Status (Cura Paralisi)</x:v>
      </x:c>
      <x:c r="D258" s="39" t="str">
        <x:v>Status / danno fisso</x:v>
      </x:c>
      <x:c r="E258" s="19" t="str">
        <x:v>Cerebron #83</x:v>
      </x:c>
      <x:c r="F258" s="19" t="str">
        <x:v>DiceMaster · faccia 6</x:v>
      </x:c>
      <x:c r="G258" s="38" t="str">
        <x:v>Da adattare</x:v>
      </x:c>
      <x:c r="H258" s="24" t="str">
        <x:v>Utilizzatore</x:v>
      </x:c>
      <x:c r="I258" s="25" t="n">
        <x:v>1</x:v>
      </x:c>
      <x:c r="J258" s="26"/>
      <x:c r="K258" s="19" t="str">
        <x:v>Riserva tecnica: mostra una faccia di dado. Sostituire l’icona con una rappresentazione della mossa; non pronto per la battaglia.</x:v>
      </x:c>
      <x:c r="L258" s="19" t="str">
        <x:v>generated:effectpl-img_dicemaster-images_nested__diceroll__6_sheet</x:v>
      </x:c>
    </x:row>
    <x:row r="259" ht="46" customHeight="1">
      <x:c r="A259" s="28" t="n">
        <x:v>246</x:v>
      </x:c>
      <x:c r="B259" s="29" t="str">
        <x:v>Defibrillazione</x:v>
      </x:c>
      <x:c r="C259" s="29" t="str">
        <x:v>Status (Cura Paralisi)</x:v>
      </x:c>
      <x:c r="D259" s="39" t="str">
        <x:v>Status / danno fisso</x:v>
      </x:c>
      <x:c r="E259" s="29" t="str">
        <x:v>Piox #65</x:v>
      </x:c>
      <x:c r="F259" s="34" t="str"/>
      <x:c r="G259" s="34" t="str">
        <x:v>Da creare</x:v>
      </x:c>
      <x:c r="H259" s="30" t="str"/>
      <x:c r="I259" s="31"/>
      <x:c r="J259" s="32"/>
      <x:c r="K259" s="29" t="str">
        <x:v>Da reperire un VFX distinto; l’eventuale effetto generico nel gioco non conta come assegnazione.</x:v>
      </x:c>
      <x:c r="L259" s="29" t="str"/>
    </x:row>
    <x:row r="260" ht="46" customHeight="1">
      <x:c r="A260" s="22" t="n">
        <x:v>247</x:v>
      </x:c>
      <x:c r="B260" s="19" t="str">
        <x:v>Sguardo Ipnotico</x:v>
      </x:c>
      <x:c r="C260" s="19" t="str">
        <x:v>Status (Confusione)</x:v>
      </x:c>
      <x:c r="D260" s="39" t="str">
        <x:v>Status / danno fisso</x:v>
      </x:c>
      <x:c r="E260" s="19" t="str">
        <x:v>Felyss #11; Felyss #12</x:v>
      </x:c>
      <x:c r="F260" s="19" t="str">
        <x:v>Kenney Magic Ring</x:v>
      </x:c>
      <x:c r="G260" s="19" t="str">
        <x:v>Proposta</x:v>
      </x:c>
      <x:c r="H260" s="24" t="str">
        <x:v>Bersaglio</x:v>
      </x:c>
      <x:c r="I260" s="25" t="n">
        <x:v>1</x:v>
      </x:c>
      <x:c r="J260" s="26"/>
      <x:c r="K260" s="19" t="str">
        <x:v>Proposta individuale basata su forma, colore e tema visivo; da verificare in anteprima. Risorsa statica, non animazione GIF/sprite sheet.</x:v>
      </x:c>
      <x:c r="L260" s="19" t="str">
        <x:v>kenneyMagic</x:v>
      </x:c>
    </x:row>
    <x:row r="261" ht="46" customHeight="1">
      <x:c r="A261" s="28" t="n">
        <x:v>248</x:v>
      </x:c>
      <x:c r="B261" s="29" t="str">
        <x:v>Iniezione Velenosa</x:v>
      </x:c>
      <x:c r="C261" s="29" t="str">
        <x:v>Status (Veleno)</x:v>
      </x:c>
      <x:c r="D261" s="39" t="str">
        <x:v>Status / danno fisso</x:v>
      </x:c>
      <x:c r="E261" s="29" t="str">
        <x:v>Beestrix #96; Beestrix #97</x:v>
      </x:c>
      <x:c r="F261" s="34" t="str"/>
      <x:c r="G261" s="34" t="str">
        <x:v>Da creare</x:v>
      </x:c>
      <x:c r="H261" s="30" t="str"/>
      <x:c r="I261" s="31"/>
      <x:c r="J261" s="32"/>
      <x:c r="K261" s="29" t="str">
        <x:v>Da reperire un VFX distinto; l’eventuale effetto generico nel gioco non conta come assegnazione.</x:v>
      </x:c>
      <x:c r="L261" s="29" t="str"/>
    </x:row>
    <x:row r="262" ht="46" customHeight="1">
      <x:c r="A262" s="22" t="n">
        <x:v>249</x:v>
      </x:c>
      <x:c r="B262" s="19" t="str">
        <x:v>Impatto Genetico</x:v>
      </x:c>
      <x:c r="C262" s="19" t="str">
        <x:v>Status (Danno Fisso)</x:v>
      </x:c>
      <x:c r="D262" s="39" t="str">
        <x:v>Status / danno fisso</x:v>
      </x:c>
      <x:c r="E262" s="19" t="str">
        <x:v>Cellgon #80; Cellgon #81</x:v>
      </x:c>
      <x:c r="F262" s="34" t="str"/>
      <x:c r="G262" s="34" t="str">
        <x:v>Da creare</x:v>
      </x:c>
      <x:c r="H262" s="24" t="str"/>
      <x:c r="I262" s="25"/>
      <x:c r="J262" s="26"/>
      <x:c r="K262" s="19" t="str">
        <x:v>Da reperire un VFX distinto; l’eventuale effetto generico nel gioco non conta come assegnazione.</x:v>
      </x:c>
      <x:c r="L262" s="19" t="str"/>
    </x:row>
    <x:row r="263" ht="46" customHeight="1">
      <x:c r="A263" s="28" t="n">
        <x:v>250</x:v>
      </x:c>
      <x:c r="B263" s="29" t="str">
        <x:v>Soffio della Foresta</x:v>
      </x:c>
      <x:c r="C263" s="29" t="str">
        <x:v>Status (Recupero Alto HP)</x:v>
      </x:c>
      <x:c r="D263" s="39" t="str">
        <x:v>Status / danno fisso</x:v>
      </x:c>
      <x:c r="E263" s="29" t="str">
        <x:v>Leafrex #53; Leafrex #54</x:v>
      </x:c>
      <x:c r="F263" s="34" t="str"/>
      <x:c r="G263" s="34" t="str">
        <x:v>Da creare</x:v>
      </x:c>
      <x:c r="H263" s="30" t="str"/>
      <x:c r="I263" s="31"/>
      <x:c r="J263" s="32"/>
      <x:c r="K263" s="29" t="str">
        <x:v>Da reperire un VFX distinto; l’eventuale effetto generico nel gioco non conta come assegnazione.</x:v>
      </x:c>
      <x:c r="L263" s="29" t="str"/>
    </x:row>
    <x:row r="264" ht="46" customHeight="1">
      <x:c r="A264" s="22" t="n">
        <x:v>251</x:v>
      </x:c>
      <x:c r="B264" s="19" t="str">
        <x:v>Sonno stellato</x:v>
      </x:c>
      <x:c r="C264" s="19" t="str">
        <x:v>Status (Sonno)</x:v>
      </x:c>
      <x:c r="D264" s="39" t="str">
        <x:v>Status / danno fisso</x:v>
      </x:c>
      <x:c r="E264" s="19" t="str">
        <x:v>Eclyps #31</x:v>
      </x:c>
      <x:c r="F264" s="34" t="str"/>
      <x:c r="G264" s="34" t="str">
        <x:v>Da creare</x:v>
      </x:c>
      <x:c r="H264" s="24" t="str"/>
      <x:c r="I264" s="25"/>
      <x:c r="J264" s="26"/>
      <x:c r="K264" s="19" t="str">
        <x:v>Da reperire un VFX distinto; l’eventuale effetto generico nel gioco non conta come assegnazione.</x:v>
      </x:c>
      <x:c r="L264" s="19" t="str"/>
    </x:row>
    <x:row r="265" ht="46" customHeight="1">
      <x:c r="A265" s="28" t="n">
        <x:v>252</x:v>
      </x:c>
      <x:c r="B265" s="29" t="str">
        <x:v>Goccia Tossica</x:v>
      </x:c>
      <x:c r="C265" s="29" t="str">
        <x:v>Status (Veleno)</x:v>
      </x:c>
      <x:c r="D265" s="39" t="str">
        <x:v>Status / danno fisso</x:v>
      </x:c>
      <x:c r="E265" s="29" t="str">
        <x:v>Zoorian #106</x:v>
      </x:c>
      <x:c r="F265" s="29" t="str">
        <x:v>Poison</x:v>
      </x:c>
      <x:c r="G265" s="29" t="str">
        <x:v>Proposta</x:v>
      </x:c>
      <x:c r="H265" s="30" t="str">
        <x:v>Bersaglio</x:v>
      </x:c>
      <x:c r="I265" s="31" t="n">
        <x:v>1</x:v>
      </x:c>
      <x:c r="J265" s="32"/>
      <x:c r="K265" s="29" t="str">
        <x:v>Proposta individuale basata su forma, colore e tema visivo; da verificare in anteprima.</x:v>
      </x:c>
      <x:c r="L265" s="29" t="str">
        <x:v>poisonGif</x:v>
      </x:c>
    </x:row>
    <x:row r="266" ht="46" customHeight="1">
      <x:c r="A266" s="22" t="n">
        <x:v>253</x:v>
      </x:c>
      <x:c r="B266" s="19" t="str">
        <x:v>Folgorazione</x:v>
      </x:c>
      <x:c r="C266" s="19" t="str">
        <x:v>Status (Paralisi)</x:v>
      </x:c>
      <x:c r="D266" s="39" t="str">
        <x:v>Status / danno fisso</x:v>
      </x:c>
      <x:c r="E266" s="19" t="str">
        <x:v>Weedrug #48</x:v>
      </x:c>
      <x:c r="F266" s="34" t="str"/>
      <x:c r="G266" s="34" t="str">
        <x:v>Da creare</x:v>
      </x:c>
      <x:c r="H266" s="24" t="str"/>
      <x:c r="I266" s="25"/>
      <x:c r="J266" s="26"/>
      <x:c r="K266" s="19" t="str">
        <x:v>Da reperire un VFX distinto; l’eventuale effetto generico nel gioco non conta come assegnazione.</x:v>
      </x:c>
      <x:c r="L266" s="19" t="str"/>
    </x:row>
    <x:row r="267" ht="46" customHeight="1">
      <x:c r="A267" s="28" t="n">
        <x:v>254</x:v>
      </x:c>
      <x:c r="B267" s="29" t="str">
        <x:v>Gargantua</x:v>
      </x:c>
      <x:c r="C267" s="29" t="str">
        <x:v>Status (Sonno)</x:v>
      </x:c>
      <x:c r="D267" s="39" t="str">
        <x:v>Status / danno fisso</x:v>
      </x:c>
      <x:c r="E267" s="29" t="str">
        <x:v>Blazion #33</x:v>
      </x:c>
      <x:c r="F267" s="34" t="str"/>
      <x:c r="G267" s="34" t="str">
        <x:v>Da creare</x:v>
      </x:c>
      <x:c r="H267" s="30" t="str"/>
      <x:c r="I267" s="31"/>
      <x:c r="J267" s="32"/>
      <x:c r="K267" s="29" t="str">
        <x:v>Da reperire un VFX distinto; l’eventuale effetto generico nel gioco non conta come assegnazione.</x:v>
      </x:c>
      <x:c r="L267" s="29" t="str"/>
    </x:row>
    <x:row r="268" ht="46" customHeight="1">
      <x:c r="A268" s="22" t="n">
        <x:v>255</x:v>
      </x:c>
      <x:c r="B268" s="19" t="str">
        <x:v>Lento Recupero</x:v>
      </x:c>
      <x:c r="C268" s="19" t="str">
        <x:v>Status (Recupero Alto HP)</x:v>
      </x:c>
      <x:c r="D268" s="39" t="str">
        <x:v>Status / danno fisso</x:v>
      </x:c>
      <x:c r="E268" s="19" t="str">
        <x:v>Boomrock #104</x:v>
      </x:c>
      <x:c r="F268" s="34" t="str"/>
      <x:c r="G268" s="34" t="str">
        <x:v>Da creare</x:v>
      </x:c>
      <x:c r="H268" s="24" t="str"/>
      <x:c r="I268" s="25"/>
      <x:c r="J268" s="26"/>
      <x:c r="K268" s="19" t="str">
        <x:v>Da reperire un VFX distinto; l’eventuale effetto generico nel gioco non conta come assegnazione.</x:v>
      </x:c>
      <x:c r="L268" s="19" t="str"/>
    </x:row>
    <x:row r="269" ht="53" customHeight="1">
      <x:c r="A269" s="28" t="n">
        <x:v>256</x:v>
      </x:c>
      <x:c r="B269" s="29" t="str">
        <x:v>Stasi Elettrica</x:v>
      </x:c>
      <x:c r="C269" s="29" t="str">
        <x:v>Status (Paralisi)</x:v>
      </x:c>
      <x:c r="D269" s="39" t="str">
        <x:v>Status / danno fisso</x:v>
      </x:c>
      <x:c r="E269" s="29" t="str">
        <x:v>Felvex #44</x:v>
      </x:c>
      <x:c r="F269" s="29" t="str">
        <x:v>Debuff</x:v>
      </x:c>
      <x:c r="G269" s="29" t="str">
        <x:v>Proposta</x:v>
      </x:c>
      <x:c r="H269" s="30" t="str">
        <x:v>Bersaglio</x:v>
      </x:c>
      <x:c r="I269" s="31" t="n">
        <x:v>1</x:v>
      </x:c>
      <x:c r="J269" s="32"/>
      <x:c r="K269" s="29" t="str">
        <x:v>Integrazione dell’utente: Felvex evoluzione Oscurità (#44), status che causa paralisi. Aura viola sul bersaglio; assegnazione preliminare. Proposta individuale basata su forma, colore e tema visivo; da verificare in anteprima.</x:v>
      </x:c>
      <x:c r="L269" s="29" t="str">
        <x:v>debuff</x:v>
      </x:c>
    </x:row>
    <x:row r="270" ht="46" customHeight="1">
      <x:c r="A270" s="22" t="n">
        <x:v>257</x:v>
      </x:c>
      <x:c r="B270" s="19" t="str">
        <x:v>Palmo del Risveglio</x:v>
      </x:c>
      <x:c r="C270" s="19" t="str">
        <x:v>Status (Cura Paralisi)</x:v>
      </x:c>
      <x:c r="D270" s="39" t="str">
        <x:v>Status / danno fisso</x:v>
      </x:c>
      <x:c r="E270" s="19" t="str">
        <x:v>Hopz #64</x:v>
      </x:c>
      <x:c r="F270" s="34" t="str"/>
      <x:c r="G270" s="34" t="str">
        <x:v>Da creare</x:v>
      </x:c>
      <x:c r="H270" s="24" t="str"/>
      <x:c r="I270" s="25"/>
      <x:c r="J270" s="26"/>
      <x:c r="K270" s="19" t="str">
        <x:v>Da reperire un VFX distinto; l’eventuale effetto generico nel gioco non conta come assegnazione.</x:v>
      </x:c>
      <x:c r="L270" s="19" t="str"/>
    </x:row>
    <x:row r="271" ht="46" customHeight="1">
      <x:c r="A271" s="28" t="n">
        <x:v>258</x:v>
      </x:c>
      <x:c r="B271" s="29" t="str">
        <x:v>Vento del Disordine</x:v>
      </x:c>
      <x:c r="C271" s="29" t="str">
        <x:v>Status (Confusione)</x:v>
      </x:c>
      <x:c r="D271" s="39" t="str">
        <x:v>Status / danno fisso</x:v>
      </x:c>
      <x:c r="E271" s="29" t="str">
        <x:v>Handipus #20</x:v>
      </x:c>
      <x:c r="F271" s="34" t="str"/>
      <x:c r="G271" s="34" t="str">
        <x:v>Da creare</x:v>
      </x:c>
      <x:c r="H271" s="30" t="str"/>
      <x:c r="I271" s="31"/>
      <x:c r="J271" s="32"/>
      <x:c r="K271" s="29" t="str">
        <x:v>Da reperire un VFX distinto; l’eventuale effetto generico nel gioco non conta come assegnazione.</x:v>
      </x:c>
      <x:c r="L271" s="29" t="str"/>
    </x:row>
    <x:row r="272" ht="46" customHeight="1">
      <x:c r="A272" s="22" t="n">
        <x:v>259</x:v>
      </x:c>
      <x:c r="B272" s="19" t="str">
        <x:v>Barriera Psichica</x:v>
      </x:c>
      <x:c r="C272" s="19" t="str">
        <x:v>Status (Confusione)</x:v>
      </x:c>
      <x:c r="D272" s="39" t="str">
        <x:v>Status / danno fisso</x:v>
      </x:c>
      <x:c r="E272" s="19" t="str">
        <x:v>Ignitor #77</x:v>
      </x:c>
      <x:c r="F272" s="19" t="str">
        <x:v>Barrier</x:v>
      </x:c>
      <x:c r="G272" s="19" t="str">
        <x:v>Proposta</x:v>
      </x:c>
      <x:c r="H272" s="24" t="str">
        <x:v>Bersaglio</x:v>
      </x:c>
      <x:c r="I272" s="25" t="n">
        <x:v>1</x:v>
      </x:c>
      <x:c r="J272" s="26"/>
      <x:c r="K272" s="19" t="str">
        <x:v>Barriera psichica sul bersaglio: rappresenta confusione, non conferisce una barriera nel motore. Proposta individuale basata su forma, colore e tema visivo; da verificare in anteprima.</x:v>
      </x:c>
      <x:c r="L272" s="19" t="str">
        <x:v>barrier</x:v>
      </x:c>
    </x:row>
    <x:row r="273" ht="46" customHeight="1">
      <x:c r="A273" s="28" t="n">
        <x:v>260</x:v>
      </x:c>
      <x:c r="B273" s="29" t="str">
        <x:v>RInnovo Neurostatico</x:v>
      </x:c>
      <x:c r="C273" s="29" t="str">
        <x:v>Status (Cura Paralisi)</x:v>
      </x:c>
      <x:c r="D273" s="39" t="str">
        <x:v>Status / danno fisso</x:v>
      </x:c>
      <x:c r="E273" s="29" t="str">
        <x:v>Wormaren #14; Wormaren #15</x:v>
      </x:c>
      <x:c r="F273" s="29" t="str">
        <x:v>Buff</x:v>
      </x:c>
      <x:c r="G273" s="29" t="str">
        <x:v>Proposta</x:v>
      </x:c>
      <x:c r="H273" s="30" t="str">
        <x:v>Utilizzatore</x:v>
      </x:c>
      <x:c r="I273" s="31" t="n">
        <x:v>1</x:v>
      </x:c>
      <x:c r="J273" s="32"/>
      <x:c r="K273" s="29" t="str">
        <x:v>Proposta individuale basata su forma, colore e tema visivo; da verificare in anteprima.</x:v>
      </x:c>
      <x:c r="L273" s="29" t="str">
        <x:v>buff</x:v>
      </x:c>
    </x:row>
    <x:row r="274" ht="46" customHeight="1">
      <x:c r="A274" s="22" t="n">
        <x:v>261</x:v>
      </x:c>
      <x:c r="B274" s="19" t="str">
        <x:v>Dono del Tempo</x:v>
      </x:c>
      <x:c r="C274" s="19" t="str">
        <x:v>Status (Danno Fisso)</x:v>
      </x:c>
      <x:c r="D274" s="39" t="str">
        <x:v>Status / danno fisso</x:v>
      </x:c>
      <x:c r="E274" s="19" t="str">
        <x:v>RS-219 #40; RS-219 #41</x:v>
      </x:c>
      <x:c r="F274" s="19" t="str">
        <x:v>DiceMaster · faccia 1</x:v>
      </x:c>
      <x:c r="G274" s="38" t="str">
        <x:v>Da adattare</x:v>
      </x:c>
      <x:c r="H274" s="24" t="str">
        <x:v>Bersaglio</x:v>
      </x:c>
      <x:c r="I274" s="25" t="n">
        <x:v>1</x:v>
      </x:c>
      <x:c r="J274" s="26"/>
      <x:c r="K274" s="19" t="str">
        <x:v>Riserva tecnica: mostra una faccia di dado. Sostituire l’icona con una rappresentazione della mossa; non pronto per la battaglia.</x:v>
      </x:c>
      <x:c r="L274" s="19" t="str">
        <x:v>generated:effectpl-img_dicemaster-images_nested__diceroll__1_sheet</x:v>
      </x:c>
    </x:row>
    <x:row r="275" ht="46" customHeight="1">
      <x:c r="A275" s="28" t="n">
        <x:v>262</x:v>
      </x:c>
      <x:c r="B275" s="29" t="str">
        <x:v>Sospiro Fiabesco</x:v>
      </x:c>
      <x:c r="C275" s="29" t="str">
        <x:v>Status (Sonno)</x:v>
      </x:c>
      <x:c r="D275" s="39" t="str">
        <x:v>Status / danno fisso</x:v>
      </x:c>
      <x:c r="E275" s="29" t="str">
        <x:v>Espeiry #90; Espeiry #91</x:v>
      </x:c>
      <x:c r="F275" s="34" t="str"/>
      <x:c r="G275" s="34" t="str">
        <x:v>Da creare</x:v>
      </x:c>
      <x:c r="H275" s="30" t="str"/>
      <x:c r="I275" s="31"/>
      <x:c r="J275" s="32"/>
      <x:c r="K275" s="29" t="str">
        <x:v>Da reperire un VFX distinto; l’eventuale effetto generico nel gioco non conta come assegnazione.</x:v>
      </x:c>
      <x:c r="L275" s="29" t="str"/>
    </x:row>
    <x:row r="276" ht="46" customHeight="1">
      <x:c r="A276" s="22" t="n">
        <x:v>263</x:v>
      </x:c>
      <x:c r="B276" s="19" t="str">
        <x:v>Rugiada Curativa</x:v>
      </x:c>
      <x:c r="C276" s="19" t="str">
        <x:v>Status (Cura Status e Recupero Basso HP)</x:v>
      </x:c>
      <x:c r="D276" s="39" t="str">
        <x:v>Status / danno fisso</x:v>
      </x:c>
      <x:c r="E276" s="19" t="str">
        <x:v>Shabyss #59; Shabyss #60</x:v>
      </x:c>
      <x:c r="F276" s="34" t="str"/>
      <x:c r="G276" s="34" t="str">
        <x:v>Da creare</x:v>
      </x:c>
      <x:c r="H276" s="24" t="str"/>
      <x:c r="I276" s="25"/>
      <x:c r="J276" s="26"/>
      <x:c r="K276" s="19" t="str">
        <x:v>Da reperire un VFX distinto; l’eventuale effetto generico nel gioco non conta come assegnazione.</x:v>
      </x:c>
      <x:c r="L276" s="19" t="str"/>
    </x:row>
    <x:row r="277" ht="46" customHeight="1">
      <x:c r="A277" s="28" t="n">
        <x:v>264</x:v>
      </x:c>
      <x:c r="B277" s="29" t="str">
        <x:v>Reset Corporeo</x:v>
      </x:c>
      <x:c r="C277" s="29" t="str">
        <x:v>Status (Cura Paralisi)</x:v>
      </x:c>
      <x:c r="D277" s="39" t="str">
        <x:v>Status / danno fisso</x:v>
      </x:c>
      <x:c r="E277" s="29" t="str">
        <x:v>Crawgoyle #35</x:v>
      </x:c>
      <x:c r="F277" s="34" t="str"/>
      <x:c r="G277" s="34" t="str">
        <x:v>Da creare</x:v>
      </x:c>
      <x:c r="H277" s="30" t="str"/>
      <x:c r="I277" s="31"/>
      <x:c r="J277" s="32"/>
      <x:c r="K277" s="29" t="str">
        <x:v>Da reperire un VFX distinto; l’eventuale effetto generico nel gioco non conta come assegnazione.</x:v>
      </x:c>
      <x:c r="L277" s="29" t="str"/>
    </x:row>
    <x:row r="278" ht="46" customHeight="1">
      <x:c r="A278" s="22" t="n">
        <x:v>265</x:v>
      </x:c>
      <x:c r="B278" s="19" t="str">
        <x:v>Onde Rilassanti</x:v>
      </x:c>
      <x:c r="C278" s="19" t="str">
        <x:v>Status (Sonno)</x:v>
      </x:c>
      <x:c r="D278" s="39" t="str">
        <x:v>Status / danno fisso</x:v>
      </x:c>
      <x:c r="E278" s="19" t="str">
        <x:v>Ervys #100</x:v>
      </x:c>
      <x:c r="F278" s="34" t="str"/>
      <x:c r="G278" s="34" t="str">
        <x:v>Da creare</x:v>
      </x:c>
      <x:c r="H278" s="24" t="str"/>
      <x:c r="I278" s="25"/>
      <x:c r="J278" s="26"/>
      <x:c r="K278" s="19" t="str">
        <x:v>Da reperire un VFX distinto; l’eventuale effetto generico nel gioco non conta come assegnazione.</x:v>
      </x:c>
      <x:c r="L278" s="19" t="str"/>
    </x:row>
    <x:row r="279" ht="46" customHeight="1">
      <x:c r="A279" s="28" t="n">
        <x:v>266</x:v>
      </x:c>
      <x:c r="B279" s="29" t="str">
        <x:v>Aura Velenosa</x:v>
      </x:c>
      <x:c r="C279" s="29" t="str">
        <x:v>Status (Veleno)</x:v>
      </x:c>
      <x:c r="D279" s="39" t="str">
        <x:v>Status / danno fisso</x:v>
      </x:c>
      <x:c r="E279" s="29" t="str">
        <x:v>Constrix #50</x:v>
      </x:c>
      <x:c r="F279" s="34" t="str"/>
      <x:c r="G279" s="34" t="str">
        <x:v>Da creare</x:v>
      </x:c>
      <x:c r="H279" s="30" t="str"/>
      <x:c r="I279" s="31"/>
      <x:c r="J279" s="32"/>
      <x:c r="K279" s="29" t="str">
        <x:v>Da reperire un VFX distinto; l’eventuale effetto generico nel gioco non conta come assegnazione.</x:v>
      </x:c>
      <x:c r="L279" s="29" t="str"/>
    </x:row>
    <x:row r="280" ht="46" customHeight="1">
      <x:c r="A280" s="22" t="n">
        <x:v>267</x:v>
      </x:c>
      <x:c r="B280" s="19" t="str">
        <x:v>Ristoro Completo</x:v>
      </x:c>
      <x:c r="C280" s="19" t="str">
        <x:v>Status (Recupero Alto HP)</x:v>
      </x:c>
      <x:c r="D280" s="39" t="str">
        <x:v>Status / danno fisso</x:v>
      </x:c>
      <x:c r="E280" s="19" t="str">
        <x:v>Fluffet #63</x:v>
      </x:c>
      <x:c r="F280" s="19" t="str">
        <x:v>MobEff.Img APCRevive 0</x:v>
      </x:c>
      <x:c r="G280" s="19" t="str">
        <x:v>Proposta</x:v>
      </x:c>
      <x:c r="H280" s="24" t="str">
        <x:v>Utilizzatore</x:v>
      </x:c>
      <x:c r="I280" s="25" t="n">
        <x:v>1</x:v>
      </x:c>
      <x:c r="J280" s="26"/>
      <x:c r="K280" s="19" t="str">
        <x:v>Proposta individuale basata su forma, colore e tema visivo; da verificare in anteprima.</x:v>
      </x:c>
      <x:c r="L280" s="19" t="str">
        <x:v>generated:mobeff-img_apcrevive_0-images_nested_sheet</x:v>
      </x:c>
    </x:row>
    <x:row r="281" ht="46" customHeight="1">
      <x:c r="A281" s="28" t="n">
        <x:v>268</x:v>
      </x:c>
      <x:c r="B281" s="29" t="str">
        <x:v>Melodia Sfasata</x:v>
      </x:c>
      <x:c r="C281" s="29" t="str">
        <x:v>Status (Confusione)</x:v>
      </x:c>
      <x:c r="D281" s="39" t="str">
        <x:v>Status / danno fisso</x:v>
      </x:c>
      <x:c r="E281" s="29" t="str">
        <x:v>Colussand #19</x:v>
      </x:c>
      <x:c r="F281" s="34" t="str"/>
      <x:c r="G281" s="34" t="str">
        <x:v>Da creare</x:v>
      </x:c>
      <x:c r="H281" s="30" t="str"/>
      <x:c r="I281" s="31"/>
      <x:c r="J281" s="32"/>
      <x:c r="K281" s="29" t="str">
        <x:v>Da reperire un VFX distinto; l’eventuale effetto generico nel gioco non conta come assegnazione.</x:v>
      </x:c>
      <x:c r="L281" s="29" t="str"/>
    </x:row>
    <x:row r="282" ht="46" customHeight="1">
      <x:c r="A282" s="22" t="n">
        <x:v>269</x:v>
      </x:c>
      <x:c r="B282" s="19" t="str">
        <x:v>Spirito della Fuoco</x:v>
      </x:c>
      <x:c r="C282" s="19" t="str">
        <x:v>Status (Recupero Alto HP)</x:v>
      </x:c>
      <x:c r="D282" s="39" t="str">
        <x:v>Status / danno fisso</x:v>
      </x:c>
      <x:c r="E282" s="19" t="str">
        <x:v>Goliash #51</x:v>
      </x:c>
      <x:c r="F282" s="34" t="str"/>
      <x:c r="G282" s="34" t="str">
        <x:v>Da creare</x:v>
      </x:c>
      <x:c r="H282" s="24" t="str"/>
      <x:c r="I282" s="25"/>
      <x:c r="J282" s="26"/>
      <x:c r="K282" s="19" t="str">
        <x:v>Da reperire un VFX distinto; l’eventuale effetto generico nel gioco non conta come assegnazione.</x:v>
      </x:c>
      <x:c r="L282" s="19" t="str"/>
    </x:row>
    <x:row r="283" ht="46" customHeight="1">
      <x:c r="A283" s="28" t="n">
        <x:v>270</x:v>
      </x:c>
      <x:c r="B283" s="29" t="str">
        <x:v>Catene rigide</x:v>
      </x:c>
      <x:c r="C283" s="29" t="str">
        <x:v>Status (Paralisi)</x:v>
      </x:c>
      <x:c r="D283" s="39" t="str">
        <x:v>Status / danno fisso</x:v>
      </x:c>
      <x:c r="E283" s="29" t="str">
        <x:v>Trippix #78</x:v>
      </x:c>
      <x:c r="F283" s="34" t="str"/>
      <x:c r="G283" s="34" t="str">
        <x:v>Da creare</x:v>
      </x:c>
      <x:c r="H283" s="30" t="str"/>
      <x:c r="I283" s="31"/>
      <x:c r="J283" s="32"/>
      <x:c r="K283" s="29" t="str">
        <x:v>Da reperire un VFX distinto; l’eventuale effetto generico nel gioco non conta come assegnazione.</x:v>
      </x:c>
      <x:c r="L283" s="29" t="str"/>
    </x:row>
    <x:row r="284" ht="46" customHeight="1">
      <x:c r="A284" s="22" t="n">
        <x:v>271</x:v>
      </x:c>
      <x:c r="B284" s="19" t="str">
        <x:v>Torpore Artico</x:v>
      </x:c>
      <x:c r="C284" s="19" t="str">
        <x:v>Status (Paralisi)</x:v>
      </x:c>
      <x:c r="D284" s="39" t="str">
        <x:v>Status / danno fisso</x:v>
      </x:c>
      <x:c r="E284" s="19" t="str">
        <x:v>Peek-a-buu #55</x:v>
      </x:c>
      <x:c r="F284" s="19" t="str">
        <x:v>ChampionRaid.Img StackDebuff Frozen Pre</x:v>
      </x:c>
      <x:c r="G284" s="19" t="str">
        <x:v>Proposta</x:v>
      </x:c>
      <x:c r="H284" s="24" t="str">
        <x:v>Bersaglio</x:v>
      </x:c>
      <x:c r="I284" s="25" t="n">
        <x:v>1</x:v>
      </x:c>
      <x:c r="J284" s="26"/>
      <x:c r="K284" s="19" t="str">
        <x:v>Proposta individuale basata su forma, colore e tema visivo; da verificare in anteprima.</x:v>
      </x:c>
      <x:c r="L284" s="19" t="str">
        <x:v>generated:championraid-img_stackdebuff_frozen_pre-images_nested_sheet</x:v>
      </x:c>
    </x:row>
    <x:row r="285" ht="46" customHeight="1">
      <x:c r="A285" s="28" t="n">
        <x:v>272</x:v>
      </x:c>
      <x:c r="B285" s="29" t="str">
        <x:v>Linfa Ristoratrice</x:v>
      </x:c>
      <x:c r="C285" s="29" t="str">
        <x:v>Status (Recupero Alto HP)</x:v>
      </x:c>
      <x:c r="D285" s="39" t="str">
        <x:v>Status / danno fisso</x:v>
      </x:c>
      <x:c r="E285" s="29" t="str">
        <x:v>Grooty #98</x:v>
      </x:c>
      <x:c r="F285" s="29" t="str">
        <x:v>Lynn.Img Skill Heal SpecialAffected0</x:v>
      </x:c>
      <x:c r="G285" s="29" t="str">
        <x:v>Proposta</x:v>
      </x:c>
      <x:c r="H285" s="30" t="str">
        <x:v>Utilizzatore</x:v>
      </x:c>
      <x:c r="I285" s="31" t="n">
        <x:v>1</x:v>
      </x:c>
      <x:c r="J285" s="32"/>
      <x:c r="K285" s="29" t="str">
        <x:v>Proposta individuale basata su forma, colore e tema visivo; da verificare in anteprima.</x:v>
      </x:c>
      <x:c r="L285" s="29" t="str">
        <x:v>generated:lynn-img_skill_heal_specialaffected0-images_nested_sheet</x:v>
      </x:c>
    </x:row>
    <x:row r="286" ht="46" customHeight="1">
      <x:c r="A286" s="22" t="n">
        <x:v>273</x:v>
      </x:c>
      <x:c r="B286" s="19" t="str">
        <x:v>Comando draconico</x:v>
      </x:c>
      <x:c r="C286" s="19" t="str">
        <x:v>Status (Immunità da Status)</x:v>
      </x:c>
      <x:c r="D286" s="39" t="str">
        <x:v>Status / danno fisso</x:v>
      </x:c>
      <x:c r="E286" s="19" t="str">
        <x:v>Ao-shin #107</x:v>
      </x:c>
      <x:c r="F286" s="19" t="str">
        <x:v>Shield</x:v>
      </x:c>
      <x:c r="G286" s="19" t="str">
        <x:v>Proposta</x:v>
      </x:c>
      <x:c r="H286" s="24" t="str">
        <x:v>Utilizzatore</x:v>
      </x:c>
      <x:c r="I286" s="25" t="n">
        <x:v>1</x:v>
      </x:c>
      <x:c r="J286" s="26"/>
      <x:c r="K286" s="19" t="str">
        <x:v>Proposta individuale basata su forma, colore e tema visivo; da verificare in anteprima.</x:v>
      </x:c>
      <x:c r="L286" s="19" t="str">
        <x:v>shield</x:v>
      </x:c>
    </x:row>
    <x:row r="287" ht="46" customHeight="1">
      <x:c r="A287" s="28" t="n">
        <x:v>274</x:v>
      </x:c>
      <x:c r="B287" s="29" t="str">
        <x:v>Comando draconico</x:v>
      </x:c>
      <x:c r="C287" s="29" t="str">
        <x:v>Status (Immunità da Status)</x:v>
      </x:c>
      <x:c r="D287" s="39" t="str">
        <x:v>Status / danno fisso</x:v>
      </x:c>
      <x:c r="E287" s="29" t="str">
        <x:v>Aka-shin #108</x:v>
      </x:c>
      <x:c r="F287" s="34" t="str"/>
      <x:c r="G287" s="34" t="str">
        <x:v>Da creare</x:v>
      </x:c>
      <x:c r="H287" s="30" t="str"/>
      <x:c r="I287" s="31"/>
      <x:c r="J287" s="32"/>
      <x:c r="K287" s="29" t="str">
        <x:v>Da reperire un VFX distinto; l’eventuale effetto generico nel gioco non conta come assegnazione.</x:v>
      </x:c>
      <x:c r="L287" s="29" t="str"/>
    </x:row>
    <x:row r="288" ht="46" customHeight="1">
      <x:c r="A288" s="22" t="n">
        <x:v>275</x:v>
      </x:c>
      <x:c r="B288" s="19" t="str">
        <x:v>Imposizione oculare</x:v>
      </x:c>
      <x:c r="C288" s="19" t="str">
        <x:v>Status (Immunità da Status)</x:v>
      </x:c>
      <x:c r="D288" s="39" t="str">
        <x:v>Status / danno fisso</x:v>
      </x:c>
      <x:c r="E288" s="19" t="str">
        <x:v>Oniros #109</x:v>
      </x:c>
      <x:c r="F288" s="19" t="str">
        <x:v>BasicEff.Img MirrorDungeonIntrude</x:v>
      </x:c>
      <x:c r="G288" s="19" t="str">
        <x:v>Proposta</x:v>
      </x:c>
      <x:c r="H288" s="24" t="str">
        <x:v>Utilizzatore</x:v>
      </x:c>
      <x:c r="I288" s="25" t="n">
        <x:v>1</x:v>
      </x:c>
      <x:c r="J288" s="26"/>
      <x:c r="K288" s="19" t="str">
        <x:v>Sfera luminosa per immunità agli status, centrata sull’utilizzatore. Proposta individuale basata su forma, colore e tema visivo; da verificare in anteprima.</x:v>
      </x:c>
      <x:c r="L288" s="19" t="str">
        <x:v>generated:basiceff-img_mirrordungeonintrude-images_nested_sheet</x:v>
      </x:c>
    </x:row>
    <x:row r="289" ht="46" customHeight="1">
      <x:c r="A289" s="28" t="n">
        <x:v>276</x:v>
      </x:c>
      <x:c r="B289" s="29" t="str">
        <x:v>Ordine galattico</x:v>
      </x:c>
      <x:c r="C289" s="29" t="str">
        <x:v>Status (Immunità da Status)</x:v>
      </x:c>
      <x:c r="D289" s="39" t="str">
        <x:v>Status / danno fisso</x:v>
      </x:c>
      <x:c r="E289" s="29" t="str">
        <x:v>Voider #110</x:v>
      </x:c>
      <x:c r="F289" s="34" t="str"/>
      <x:c r="G289" s="34" t="str">
        <x:v>Da creare</x:v>
      </x:c>
      <x:c r="H289" s="30" t="str"/>
      <x:c r="I289" s="31"/>
      <x:c r="J289" s="32"/>
      <x:c r="K289" s="29" t="str">
        <x:v>Da reperire un VFX distinto; l’eventuale effetto generico nel gioco non conta come assegnazione.</x:v>
      </x:c>
      <x:c r="L289" s="29" t="str"/>
    </x:row>
  </x:sheetData>
  <x:mergeCells>
    <x:mergeCell ref="A1:G1"/>
    <x:mergeCell ref="A2:G2"/>
    <x:mergeCell ref="A3:G3"/>
    <x:mergeCell ref="A5:B5"/>
    <x:mergeCell ref="C5:D5"/>
    <x:mergeCell ref="E5:F5"/>
    <x:mergeCell ref="H5:J5"/>
    <x:mergeCell ref="K5:L5"/>
    <x:mergeCell ref="A6:B6"/>
    <x:mergeCell ref="C6:D6"/>
    <x:mergeCell ref="E6:F6"/>
    <x:mergeCell ref="H6:J6"/>
    <x:mergeCell ref="K6:L6"/>
    <x:mergeCell ref="A7:B7"/>
    <x:mergeCell ref="A8:B8"/>
    <x:mergeCell ref="A9:B9"/>
    <x:mergeCell ref="A10:B10"/>
    <x:mergeCell ref="A11:B11"/>
    <x:mergeCell ref="F7:G8"/>
    <x:mergeCell ref="F9:G11"/>
  </x:mergeCells>
  <x:pageMargins left="0.7" right="0.7" top="0.75" bottom="0.75" header="0.3" footer="0.3"/>
  <x:tableParts count="1">
    <x:tablePart xmlns:r="http://schemas.openxmlformats.org/officeDocument/2006/relationships" r:id="Rb367dc00b79646e5"/>
  </x:tableParts>
</x:worksheet>
</file>